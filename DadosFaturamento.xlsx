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U:\AcompanhamentoProducao\"/>
    </mc:Choice>
  </mc:AlternateContent>
  <xr:revisionPtr revIDLastSave="0" documentId="13_ncr:1_{1C9A479B-2D61-46ED-8C2B-F459B239B014}" xr6:coauthVersionLast="47" xr6:coauthVersionMax="47" xr10:uidLastSave="{00000000-0000-0000-0000-000000000000}"/>
  <bookViews>
    <workbookView xWindow="-120" yWindow="-120" windowWidth="20730" windowHeight="11040" xr2:uid="{CBC36103-499F-47D2-920C-CE20E86CCBE2}"/>
  </bookViews>
  <sheets>
    <sheet name="FaturamentoBruto" sheetId="1" r:id="rId1"/>
    <sheet name="Faturamento por client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6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3" i="1"/>
</calcChain>
</file>

<file path=xl/sharedStrings.xml><?xml version="1.0" encoding="utf-8"?>
<sst xmlns="http://schemas.openxmlformats.org/spreadsheetml/2006/main" count="1014" uniqueCount="253">
  <si>
    <t>Filial</t>
  </si>
  <si>
    <t>HAPVIDA</t>
  </si>
  <si>
    <t>BENEFICENCIA SP</t>
  </si>
  <si>
    <t>SECONCI SAPOPEMBA</t>
  </si>
  <si>
    <t>ALBERT EINSTEIN</t>
  </si>
  <si>
    <t>CACAU SHOW</t>
  </si>
  <si>
    <t>SAO CAMILO POMPEIA</t>
  </si>
  <si>
    <t>DASA CUIABA</t>
  </si>
  <si>
    <t>SECONCI VL ALPINA</t>
  </si>
  <si>
    <t>HOSP SANTA JOANA</t>
  </si>
  <si>
    <t>SIRIO LIBANES</t>
  </si>
  <si>
    <t>DASA SALOMAO E ZOPPI</t>
  </si>
  <si>
    <t>DASA CARDOSO DE MELO</t>
  </si>
  <si>
    <t>LIDERANCA SP</t>
  </si>
  <si>
    <t>SP TC</t>
  </si>
  <si>
    <t>CLINICA SAO LUCAS</t>
  </si>
  <si>
    <t>HOSPITAL AC CAMARGO</t>
  </si>
  <si>
    <t>HOSPITAL SIRIO</t>
  </si>
  <si>
    <t>DASA DIAGNOSTICO</t>
  </si>
  <si>
    <t>DASA IMPAR</t>
  </si>
  <si>
    <t>SAO CAMILO SANTANA</t>
  </si>
  <si>
    <t>DASA RECIFE 61.486.6</t>
  </si>
  <si>
    <t>DASA INNOVA HOSP</t>
  </si>
  <si>
    <t>AME SAO VICENTE</t>
  </si>
  <si>
    <t>DIVISAO DELBONI</t>
  </si>
  <si>
    <t>INFANTE DOM HENRIQUE</t>
  </si>
  <si>
    <t>DASA LAB NOBEL S.</t>
  </si>
  <si>
    <t>DASA EXAME MED DIAG</t>
  </si>
  <si>
    <t>OSWALDO CRUZ SP</t>
  </si>
  <si>
    <t>DASA HOSP 9 DE JULHO</t>
  </si>
  <si>
    <t>MED AVANC MADRID</t>
  </si>
  <si>
    <t>SAO CAMILO IPIRANGA</t>
  </si>
  <si>
    <t>DASA CIENTIFICALAB</t>
  </si>
  <si>
    <t>HOSPITAL EST SUMARE</t>
  </si>
  <si>
    <t>IGESP 61.442.190/000</t>
  </si>
  <si>
    <t>DASA SAO MARCOS</t>
  </si>
  <si>
    <t>SEPACO</t>
  </si>
  <si>
    <t>FUNCAMP</t>
  </si>
  <si>
    <t>HOSP PROF EDMUNDO VA</t>
  </si>
  <si>
    <t>CRAL</t>
  </si>
  <si>
    <t>DASA DF</t>
  </si>
  <si>
    <t>HOSP NIPO BRASILEIRO</t>
  </si>
  <si>
    <t>ACALANTO CLINICA</t>
  </si>
  <si>
    <t>CLINICA PREMIUM CARE</t>
  </si>
  <si>
    <t>HOSP SAO VICENTE</t>
  </si>
  <si>
    <t>TECNOLAB</t>
  </si>
  <si>
    <t>SERVICO SOCIAL DA CO</t>
  </si>
  <si>
    <t>HBA ASSIST. MEDICA</t>
  </si>
  <si>
    <t>DASA</t>
  </si>
  <si>
    <t>DASA 61.486.650/1161</t>
  </si>
  <si>
    <t>DASA SSZ 45.796.554/</t>
  </si>
  <si>
    <t>C B C</t>
  </si>
  <si>
    <t>DASA SALVADORBA</t>
  </si>
  <si>
    <t>DASA HOSP BRASILIA</t>
  </si>
  <si>
    <t>ALESP</t>
  </si>
  <si>
    <t>DASA 61.486.650/008</t>
  </si>
  <si>
    <t>PREVILAB ANALISES 01</t>
  </si>
  <si>
    <t>PREVILAB ANALISES CL</t>
  </si>
  <si>
    <t>MARIO COVAS</t>
  </si>
  <si>
    <t>DASA ITULAB</t>
  </si>
  <si>
    <t>INSTITUTO CANCER SP</t>
  </si>
  <si>
    <t>DASA ALTA JARDINS</t>
  </si>
  <si>
    <t>DASA LAB SAO CAMILO</t>
  </si>
  <si>
    <t>MATHEUS ALVES</t>
  </si>
  <si>
    <t>CLEANING SOLUTIONS C</t>
  </si>
  <si>
    <t>HOSP SAO LUCAS</t>
  </si>
  <si>
    <t>PREVILAB AN CLIN LTD</t>
  </si>
  <si>
    <t>DASA VALECLIN</t>
  </si>
  <si>
    <t>SECONCI ITAPECERICA</t>
  </si>
  <si>
    <t>HOSP SANTA CATARINA</t>
  </si>
  <si>
    <t>AFIP</t>
  </si>
  <si>
    <t>DAVITA INDIANOPOLIS</t>
  </si>
  <si>
    <t>COLGATE</t>
  </si>
  <si>
    <t>Cliente</t>
  </si>
  <si>
    <t>R$ Fatur.</t>
  </si>
  <si>
    <t>TOTAL</t>
  </si>
  <si>
    <t>Data</t>
  </si>
  <si>
    <t>0101 - Matriz</t>
  </si>
  <si>
    <t>Fat.</t>
  </si>
  <si>
    <t>Dev.</t>
  </si>
  <si>
    <t>STA CASA SANTO AMARO</t>
  </si>
  <si>
    <t>HOSPITAL QUINTA DOR</t>
  </si>
  <si>
    <t>HOSP SAO CRISTOVAO</t>
  </si>
  <si>
    <t>HOSP PLATINUM</t>
  </si>
  <si>
    <t>DASA S JOSE PINHAIS</t>
  </si>
  <si>
    <t>DASA PQ DUQUE CAXIAS</t>
  </si>
  <si>
    <t>DASA CASCAVEL</t>
  </si>
  <si>
    <t>DASA ALTA EXCELENCIA</t>
  </si>
  <si>
    <t>TECNOLAB UNIDADE XI</t>
  </si>
  <si>
    <t>TECNOLAB UNIDADE X</t>
  </si>
  <si>
    <t>TECNOLAB UNIDADE VI</t>
  </si>
  <si>
    <t>TECNOLAB UNIDADE V</t>
  </si>
  <si>
    <t>TECNOLAB UNIDADE IX</t>
  </si>
  <si>
    <t>TECNOLAB UNIDADE IV</t>
  </si>
  <si>
    <t>SWISS PARK</t>
  </si>
  <si>
    <t>STA ISABEL BLUMENAU</t>
  </si>
  <si>
    <t>SANTA CASA DE MOGI</t>
  </si>
  <si>
    <t>MARINGA MED NUCLEAR</t>
  </si>
  <si>
    <t>LIDERANCA MG</t>
  </si>
  <si>
    <t>HYDRO</t>
  </si>
  <si>
    <t>HOSPITAL BANDEIRANTE</t>
  </si>
  <si>
    <t>HOSP SANTA VIRGINIA</t>
  </si>
  <si>
    <t>HCOR</t>
  </si>
  <si>
    <t>FRATELLI 25.258.705/</t>
  </si>
  <si>
    <t>EUCATEX</t>
  </si>
  <si>
    <t>DASA SP</t>
  </si>
  <si>
    <t>DASA PERDIZES</t>
  </si>
  <si>
    <t>DASA LAB CLINICO</t>
  </si>
  <si>
    <t>DASA ITAIM BIBI</t>
  </si>
  <si>
    <t>DASA IPIRANGA</t>
  </si>
  <si>
    <t>DASA IBIRAPUERA</t>
  </si>
  <si>
    <t>DASA GOIANIA</t>
  </si>
  <si>
    <t>DASA CTO BORIS BEREN</t>
  </si>
  <si>
    <t>DASA BARUERI</t>
  </si>
  <si>
    <t>DASA 61.486.650/0273</t>
  </si>
  <si>
    <t>DASA 45.796.554/0011</t>
  </si>
  <si>
    <t>DASA 45.796.554/0003</t>
  </si>
  <si>
    <t>CMA SERVICOS MEDICOS</t>
  </si>
  <si>
    <t>CLINICA SAO VICENTE</t>
  </si>
  <si>
    <t>CEMA HOSPITAL</t>
  </si>
  <si>
    <t>TJ RAJ 03</t>
  </si>
  <si>
    <t>TECNOLAB UNIDADE II</t>
  </si>
  <si>
    <t>TECNOLAB UNID VIII</t>
  </si>
  <si>
    <t>LUSTOSA</t>
  </si>
  <si>
    <t>JULIANA SANTOS</t>
  </si>
  <si>
    <t>ITAMAR SILVA</t>
  </si>
  <si>
    <t>HOSPITAL MORIAH 19.0</t>
  </si>
  <si>
    <t>HAPVIDA - SJRP</t>
  </si>
  <si>
    <t>DASA FORTALEZA</t>
  </si>
  <si>
    <t>BIOFAST</t>
  </si>
  <si>
    <t>ALTANA TATUAPÉ</t>
  </si>
  <si>
    <t>ALTANA BORGES LAGOA</t>
  </si>
  <si>
    <t>LIMGER EMPRESA DE LI</t>
  </si>
  <si>
    <t>HOSP SANCTA MAGGIORE</t>
  </si>
  <si>
    <t>AFIP SANTANA</t>
  </si>
  <si>
    <t>AFIP CAC GUARULHOS</t>
  </si>
  <si>
    <t>TECNOLAB UNIDADE XII</t>
  </si>
  <si>
    <t>TECNOLAB UNIDADE VII</t>
  </si>
  <si>
    <t>TECNOLAB UNID XIII</t>
  </si>
  <si>
    <t>SECONCI MATARAZZO</t>
  </si>
  <si>
    <t>S. MAVE</t>
  </si>
  <si>
    <t>RICCO PAES</t>
  </si>
  <si>
    <t>REDE DOR SAO LUIZ S.</t>
  </si>
  <si>
    <t>MASTRA INDUSTRIA</t>
  </si>
  <si>
    <t>LAB HORMON</t>
  </si>
  <si>
    <t>IBCC MOOCA 62.932.94</t>
  </si>
  <si>
    <t>HSM ALAMEDA SANTOS</t>
  </si>
  <si>
    <t>HSCOR HOSP CORACAO</t>
  </si>
  <si>
    <t>HOSP SAO LUIZ GRU</t>
  </si>
  <si>
    <t>HARM</t>
  </si>
  <si>
    <t>GUIMA CONSECO</t>
  </si>
  <si>
    <t>DASA PEIXOTO GOMIDE</t>
  </si>
  <si>
    <t>CSSM</t>
  </si>
  <si>
    <t>CONMEDI PAULISTA 34.</t>
  </si>
  <si>
    <t>CONMEDI MAUA 34.101.</t>
  </si>
  <si>
    <t>ANERY HOME CARE</t>
  </si>
  <si>
    <t>AFIP VL CLEMENTINO</t>
  </si>
  <si>
    <t>SAO MARCOS</t>
  </si>
  <si>
    <t>PREVILAB ANALISES -</t>
  </si>
  <si>
    <t>NEFROCOR</t>
  </si>
  <si>
    <t>KUMON PARAISO</t>
  </si>
  <si>
    <t>INSTITUTO DE BIOMEDI</t>
  </si>
  <si>
    <t>HOSPITAL SANTA RITA</t>
  </si>
  <si>
    <t>GRAACC</t>
  </si>
  <si>
    <t>FM2C SERVICOS GERAIS</t>
  </si>
  <si>
    <t>ECOKID</t>
  </si>
  <si>
    <t>DELBONI AURIEMO S.A.</t>
  </si>
  <si>
    <t>DASA LAB CHROMATO</t>
  </si>
  <si>
    <t>CONMEDI SANTO AMARO</t>
  </si>
  <si>
    <t>CONMEDI REPUBLICA 34</t>
  </si>
  <si>
    <t>CONMEDI OSASCO 34.10</t>
  </si>
  <si>
    <t>CLINICA GUARIBA</t>
  </si>
  <si>
    <t>BRASTIL</t>
  </si>
  <si>
    <t>UNIMED NACIONAL</t>
  </si>
  <si>
    <t>TJ RAJ 01 MATRIZ</t>
  </si>
  <si>
    <t>STA CASA DE OURINHOS</t>
  </si>
  <si>
    <t>SECONCI COTIA</t>
  </si>
  <si>
    <t>PLANOVA</t>
  </si>
  <si>
    <t>H M REGINA PROTMANN</t>
  </si>
  <si>
    <t>CLINICA ARAGUAIA</t>
  </si>
  <si>
    <t>SBIB ALBERT EINSTEIN</t>
  </si>
  <si>
    <t>PATRICIA SANTOS</t>
  </si>
  <si>
    <t>MASTER HIGIMED RJ</t>
  </si>
  <si>
    <t>HOSP SANTA MARTHA</t>
  </si>
  <si>
    <t>CLIPTECH</t>
  </si>
  <si>
    <t>CLINIPAM</t>
  </si>
  <si>
    <t>CHS REG SOROCABA</t>
  </si>
  <si>
    <t>AFIP CLEMENTINO</t>
  </si>
  <si>
    <t>SYNGENTA PROTECAO</t>
  </si>
  <si>
    <t>SECONCI HELIOPOLIS</t>
  </si>
  <si>
    <t>ESTANCIA 02.701.199/</t>
  </si>
  <si>
    <t>DASA VILA JUNDIAI</t>
  </si>
  <si>
    <t>DASA JD MAIA</t>
  </si>
  <si>
    <t>DASA DELIBERATO</t>
  </si>
  <si>
    <t>DASA 61.486.650/1206</t>
  </si>
  <si>
    <t>DASA 61.486.650/0030</t>
  </si>
  <si>
    <t>TJ RAJ 10</t>
  </si>
  <si>
    <t>TJ RAJ 08</t>
  </si>
  <si>
    <t>TJ RAJ 07</t>
  </si>
  <si>
    <t>TJ RAJ 06</t>
  </si>
  <si>
    <t>TJ RAJ 04</t>
  </si>
  <si>
    <t>TJ RAJ 02</t>
  </si>
  <si>
    <t>SYNGENTA INDAIATUBA</t>
  </si>
  <si>
    <t>SANTA CELINA</t>
  </si>
  <si>
    <t>LIDERANCA DF</t>
  </si>
  <si>
    <t>DASA LAB DELIBERATO</t>
  </si>
  <si>
    <t>DASA BELA VISTA</t>
  </si>
  <si>
    <t>DASA 61.486.650/0188</t>
  </si>
  <si>
    <t>DASA 61.486.650/0015</t>
  </si>
  <si>
    <t>CTO DIAG BORIS BEREN</t>
  </si>
  <si>
    <t>COLEGIO SANTA CATARI</t>
  </si>
  <si>
    <t>CERPE</t>
  </si>
  <si>
    <t>BP MIRANTE 61.599.90</t>
  </si>
  <si>
    <t>BIONOVIS</t>
  </si>
  <si>
    <t>AME ITU</t>
  </si>
  <si>
    <t>CLINICA SAO MARCOS</t>
  </si>
  <si>
    <t>HORIBA MEDICAL</t>
  </si>
  <si>
    <t>DASA 12.857.736/0001</t>
  </si>
  <si>
    <t>CAMINHO DE DAMASCO</t>
  </si>
  <si>
    <t>ARS ENSINO SUPERIOR</t>
  </si>
  <si>
    <t>HOSP BARRA DOR I</t>
  </si>
  <si>
    <t>H NOSSA SRA CONCEICA</t>
  </si>
  <si>
    <t>COI CLINICA 39.086.1</t>
  </si>
  <si>
    <t>UNIMED DE CAPIVARI</t>
  </si>
  <si>
    <t>TEC LAB 51.131.969/0</t>
  </si>
  <si>
    <t>SECONCI LORENA</t>
  </si>
  <si>
    <t>MATRIZ</t>
  </si>
  <si>
    <t>JPM SERVICOS</t>
  </si>
  <si>
    <t>HOSPITAL BALBINO</t>
  </si>
  <si>
    <t>DASA LAB VALECLIN</t>
  </si>
  <si>
    <t>DASA 45.796.554/0018</t>
  </si>
  <si>
    <t>CHAPEL SCHOOL</t>
  </si>
  <si>
    <t>AMPARO MATERNAL SPDM</t>
  </si>
  <si>
    <t>ALTHAIA</t>
  </si>
  <si>
    <t>SECONCI CENTRO</t>
  </si>
  <si>
    <t>DASA UNIDADE CENTRAL</t>
  </si>
  <si>
    <t>WCA DO BRASIL</t>
  </si>
  <si>
    <t>TRE TRIBUNAL</t>
  </si>
  <si>
    <t>LAB SANTA LUZIA</t>
  </si>
  <si>
    <t>HOSP HELIOPOLIS</t>
  </si>
  <si>
    <t>DASA LAB HORMON</t>
  </si>
  <si>
    <t>DASA 61.486.650/0686</t>
  </si>
  <si>
    <t>SOMA CAMPINAS 03.469</t>
  </si>
  <si>
    <t>INSTITUTO HOC</t>
  </si>
  <si>
    <t>HOSP DR. J M</t>
  </si>
  <si>
    <t>GENERA SERVICOS LABO</t>
  </si>
  <si>
    <t>MEDISE</t>
  </si>
  <si>
    <t>CONGREGACAO</t>
  </si>
  <si>
    <t>0102 - Filial RJ</t>
  </si>
  <si>
    <t>0103 - Filial CP</t>
  </si>
  <si>
    <t>0104 - Filial SBC</t>
  </si>
  <si>
    <t>TOT</t>
  </si>
  <si>
    <t>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</si>
</sst>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9.6"/>
      <color rgb="FFFFFFFF"/>
      <name val="Segoe UI"/>
      <family val="2"/>
    </font>
    <font>
      <sz val="9.6"/>
      <color rgb="FF212529"/>
      <name val="Segoe UI"/>
      <family val="2"/>
    </font>
    <font>
      <u/>
      <sz val="11"/>
      <color theme="10"/>
      <name val="Aptos Narrow"/>
      <family val="2"/>
      <scheme val="minor"/>
    </font>
    <font>
      <b/>
      <sz val="9.6"/>
      <color rgb="FFFFFFFF"/>
      <name val="Aptos Narrow"/>
      <family val="2"/>
      <scheme val="minor"/>
    </font>
    <font>
      <sz val="9.6"/>
      <color rgb="FF212529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rgb="FF2C3E50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thick">
        <color rgb="FF808080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medium">
        <color rgb="FF808080"/>
      </left>
      <right/>
      <top style="medium">
        <color rgb="FF808080"/>
      </top>
      <bottom style="thick">
        <color rgb="FF808080"/>
      </bottom>
      <diagonal/>
    </border>
    <border>
      <left/>
      <right style="medium">
        <color rgb="FF808080"/>
      </right>
      <top style="medium">
        <color rgb="FF808080"/>
      </top>
      <bottom style="thick">
        <color rgb="FF808080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/>
      <diagonal/>
    </border>
    <border>
      <left style="medium">
        <color rgb="FF808080"/>
      </left>
      <right style="medium">
        <color rgb="FF808080"/>
      </right>
      <top/>
      <bottom style="thick">
        <color rgb="FF808080"/>
      </bottom>
      <diagonal/>
    </border>
    <border>
      <left style="medium">
        <color rgb="FFDEE2E6"/>
      </left>
      <right style="medium">
        <color rgb="FF808080"/>
      </right>
      <top style="medium">
        <color rgb="FFDEE2E6"/>
      </top>
      <bottom style="medium">
        <color rgb="FFDEE2E6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DEE2E6"/>
      </right>
      <top style="medium">
        <color rgb="FF808080"/>
      </top>
      <bottom style="medium">
        <color rgb="FF808080"/>
      </bottom>
      <diagonal/>
    </border>
    <border>
      <left style="medium">
        <color rgb="FFDEE2E6"/>
      </left>
      <right style="medium">
        <color rgb="FFDEE2E6"/>
      </right>
      <top style="medium">
        <color rgb="FF808080"/>
      </top>
      <bottom style="medium">
        <color rgb="FF808080"/>
      </bottom>
      <diagonal/>
    </border>
    <border>
      <left style="medium">
        <color rgb="FFDEE2E6"/>
      </left>
      <right style="medium">
        <color rgb="FF808080"/>
      </right>
      <top style="medium">
        <color rgb="FF808080"/>
      </top>
      <bottom style="medium">
        <color rgb="FF808080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 applyNumberFormat="0" applyFill="0" applyBorder="0" applyAlignment="0" applyProtection="0"/>
  </cellStyleXfs>
  <cellXfs count="28">
    <xf numFmtId="0" fontId="0" fillId="0" borderId="0" xfId="0"/>
    <xf numFmtId="14" fontId="19" fillId="33" borderId="11" xfId="0" applyNumberFormat="1" applyFont="1" applyFill="1" applyBorder="1" applyAlignment="1">
      <alignment horizontal="center" vertical="top" wrapText="1"/>
    </xf>
    <xf numFmtId="0" fontId="18" fillId="34" borderId="10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14" fontId="0" fillId="0" borderId="0" xfId="0" applyNumberFormat="1"/>
    <xf numFmtId="4" fontId="0" fillId="0" borderId="0" xfId="0" applyNumberFormat="1" applyAlignment="1">
      <alignment wrapText="1"/>
    </xf>
    <xf numFmtId="0" fontId="21" fillId="34" borderId="10" xfId="0" applyFont="1" applyFill="1" applyBorder="1" applyAlignment="1">
      <alignment horizontal="right" wrapText="1"/>
    </xf>
    <xf numFmtId="0" fontId="22" fillId="0" borderId="11" xfId="0" applyFont="1" applyBorder="1" applyAlignment="1">
      <alignment horizontal="right" vertical="top" wrapText="1"/>
    </xf>
    <xf numFmtId="14" fontId="22" fillId="0" borderId="11" xfId="0" applyNumberFormat="1" applyFont="1" applyBorder="1" applyAlignment="1">
      <alignment horizontal="center" vertical="top" wrapText="1"/>
    </xf>
    <xf numFmtId="4" fontId="20" fillId="0" borderId="11" xfId="42" applyNumberFormat="1" applyBorder="1" applyAlignment="1">
      <alignment horizontal="right" vertical="top" wrapText="1"/>
    </xf>
    <xf numFmtId="0" fontId="20" fillId="0" borderId="11" xfId="42" applyBorder="1" applyAlignment="1">
      <alignment horizontal="right" vertical="top" wrapText="1"/>
    </xf>
    <xf numFmtId="4" fontId="22" fillId="0" borderId="16" xfId="0" applyNumberFormat="1" applyFont="1" applyBorder="1" applyAlignment="1">
      <alignment horizontal="right" vertical="top" wrapText="1"/>
    </xf>
    <xf numFmtId="4" fontId="21" fillId="34" borderId="17" xfId="0" applyNumberFormat="1" applyFont="1" applyFill="1" applyBorder="1" applyAlignment="1">
      <alignment horizontal="right" wrapText="1"/>
    </xf>
    <xf numFmtId="0" fontId="21" fillId="34" borderId="14" xfId="0" applyFont="1" applyFill="1" applyBorder="1" applyAlignment="1">
      <alignment horizontal="center" wrapText="1"/>
    </xf>
    <xf numFmtId="0" fontId="21" fillId="34" borderId="15" xfId="0" applyFont="1" applyFill="1" applyBorder="1" applyAlignment="1">
      <alignment horizontal="center" wrapText="1"/>
    </xf>
    <xf numFmtId="0" fontId="21" fillId="34" borderId="14" xfId="0" applyFont="1" applyFill="1" applyBorder="1" applyAlignment="1">
      <alignment horizontal="right" wrapText="1"/>
    </xf>
    <xf numFmtId="0" fontId="21" fillId="34" borderId="15" xfId="0" applyFont="1" applyFill="1" applyBorder="1" applyAlignment="1">
      <alignment horizontal="right" wrapText="1"/>
    </xf>
    <xf numFmtId="0" fontId="21" fillId="34" borderId="12" xfId="0" applyFont="1" applyFill="1" applyBorder="1" applyAlignment="1">
      <alignment horizontal="center" wrapText="1"/>
    </xf>
    <xf numFmtId="0" fontId="21" fillId="34" borderId="13" xfId="0" applyFont="1" applyFill="1" applyBorder="1" applyAlignment="1">
      <alignment horizontal="center" wrapText="1"/>
    </xf>
    <xf numFmtId="14" fontId="19" fillId="33" borderId="18" xfId="0" applyNumberFormat="1" applyFont="1" applyFill="1" applyBorder="1" applyAlignment="1">
      <alignment horizontal="center" vertical="top" wrapText="1"/>
    </xf>
    <xf numFmtId="4" fontId="20" fillId="33" borderId="19" xfId="42" applyNumberFormat="1" applyFill="1" applyBorder="1" applyAlignment="1">
      <alignment horizontal="right" vertical="top" wrapText="1"/>
    </xf>
    <xf numFmtId="0" fontId="20" fillId="33" borderId="19" xfId="42" applyFill="1" applyBorder="1" applyAlignment="1">
      <alignment horizontal="right" vertical="top" wrapText="1"/>
    </xf>
    <xf numFmtId="0" fontId="19" fillId="33" borderId="19" xfId="0" applyFont="1" applyFill="1" applyBorder="1" applyAlignment="1">
      <alignment horizontal="right" vertical="top" wrapText="1"/>
    </xf>
    <xf numFmtId="4" fontId="19" fillId="33" borderId="20" xfId="0" applyNumberFormat="1" applyFont="1" applyFill="1" applyBorder="1" applyAlignment="1">
      <alignment horizontal="right" vertical="top" wrapText="1"/>
    </xf>
    <xf numFmtId="0" fontId="18" fillId="34" borderId="17" xfId="0" applyFont="1" applyFill="1" applyBorder="1" applyAlignment="1">
      <alignment horizontal="center" wrapText="1"/>
    </xf>
    <xf numFmtId="4" fontId="18" fillId="34" borderId="17" xfId="0" applyNumberFormat="1" applyFont="1" applyFill="1" applyBorder="1" applyAlignment="1">
      <alignment horizontal="right" wrapText="1"/>
    </xf>
    <xf numFmtId="0" fontId="18" fillId="34" borderId="17" xfId="0" applyFont="1" applyFill="1" applyBorder="1" applyAlignment="1">
      <alignment horizontal="right" wrapText="1"/>
    </xf>
  </cellXfs>
  <cellStyles count="43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Hiperlink" xfId="42" builtinId="8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qubex-higimed.integraerp.com.br/ViewCockpit001/Cp01Cli?wFIL_DD=0101&amp;wDT_INI=27%2F10%2F2026&amp;wDT_FIM=27%2F10%2F2026&amp;wACY_DD=%5B%22%2A%2A%2A%2A%2A%2A%22%5D" TargetMode="External"/><Relationship Id="rId21" Type="http://schemas.openxmlformats.org/officeDocument/2006/relationships/hyperlink" Target="https://qubex-higimed.integraerp.com.br/ViewCockpit001/Cp01Cli?wFIL_DD=0102&amp;wDT_INI=06%2F10%2F2026&amp;wDT_FIM=06%2F10%2F2026&amp;wACY_DD=%5B%22%2A%2A%2A%2A%2A%2A%22%5D" TargetMode="External"/><Relationship Id="rId42" Type="http://schemas.openxmlformats.org/officeDocument/2006/relationships/hyperlink" Target="https://qubex-higimed.integraerp.com.br/ViewCockpit001/Cp01Cli?wFIL_DD=0101&amp;wDT_INI=09%2F10%2F2026&amp;wDT_FIM=09%2F10%2F2026&amp;wACY_DD=%5B%22%2A%2A%2A%2A%2A%2A%22%5D" TargetMode="External"/><Relationship Id="rId63" Type="http://schemas.openxmlformats.org/officeDocument/2006/relationships/hyperlink" Target="https://qubex-higimed.integraerp.com.br/ViewCockpit001/Cp01Cli?wFIL_DD=0101&amp;wDT_INI=13%2F10%2F2026&amp;wDT_FIM=13%2F10%2F2026&amp;wACY_DD=%5B%22%2A%2A%2A%2A%2A%2A%22%5D" TargetMode="External"/><Relationship Id="rId84" Type="http://schemas.openxmlformats.org/officeDocument/2006/relationships/hyperlink" Target="https://qubex-higimed.integraerp.com.br/ViewCockpit001/Cp01Cli?wFIL_DD=0101&amp;wDT_INI=19%2F10%2F2026&amp;wDT_FIM=19%2F10%2F2026&amp;wACY_DD=%5B%22%2A%2A%2A%2A%2A%2A%22%5D" TargetMode="External"/><Relationship Id="rId16" Type="http://schemas.openxmlformats.org/officeDocument/2006/relationships/hyperlink" Target="https://qubex-higimed.integraerp.com.br/ViewCockpit001/Cp01Cli?wFIL_DD=0101&amp;wDT_INI=05%2F10%2F2026&amp;wDT_FIM=05%2F10%2F2026&amp;wACY_DD=%5B%22%2A%2A%2A%2A%2A%2A%22%5D" TargetMode="External"/><Relationship Id="rId107" Type="http://schemas.openxmlformats.org/officeDocument/2006/relationships/hyperlink" Target="https://qubex-higimed.integraerp.com.br/ViewCockpit001/Cp01Cli?wFIL_DD=0102&amp;wDT_INI=23%2F10%2F2026&amp;wDT_FIM=23%2F10%2F2026&amp;wACY_DD=%5B%22%2A%2A%2A%2A%2A%2A%22%5D" TargetMode="External"/><Relationship Id="rId11" Type="http://schemas.openxmlformats.org/officeDocument/2006/relationships/hyperlink" Target="https://qubex-higimed.integraerp.com.br/ViewCockpit001/Cp01Cli?wFIL_DD=0101&amp;wDT_INI=02%2F10%2F2026&amp;wDT_FIM=02%2F10%2F2026&amp;wACY_DD=%5B%22%2A%2A%2A%2A%2A%2A%22%5D" TargetMode="External"/><Relationship Id="rId32" Type="http://schemas.openxmlformats.org/officeDocument/2006/relationships/hyperlink" Target="https://qubex-higimed.integraerp.com.br/ViewCockpit001/Cp01Cli?wFIL_DD=0101&amp;wDT_INI=08%2F10%2F2026&amp;wDT_FIM=08%2F10%2F2026&amp;wACY_DD=%5B%22%2A%2A%2A%2A%2A%2A%22%5D" TargetMode="External"/><Relationship Id="rId37" Type="http://schemas.openxmlformats.org/officeDocument/2006/relationships/hyperlink" Target="https://qubex-higimed.integraerp.com.br/ViewCockpit001/Cp01Cli?wFIL_DD=0101&amp;wDT_INI=09%2F10%2F2026&amp;wDT_FIM=09%2F10%2F2026&amp;wACY_DD=%5B%22%2A%2A%2A%2A%2A%2A%22%5D" TargetMode="External"/><Relationship Id="rId53" Type="http://schemas.openxmlformats.org/officeDocument/2006/relationships/hyperlink" Target="https://qubex-higimed.integraerp.com.br/ViewCockpit001/Cp01Cli?wFIL_DD=0101&amp;wDT_INI=12%2F10%2F2026&amp;wDT_FIM=12%2F10%2F2026&amp;wACY_DD=%5B%22%2A%2A%2A%2A%2A%2A%22%5D" TargetMode="External"/><Relationship Id="rId58" Type="http://schemas.openxmlformats.org/officeDocument/2006/relationships/hyperlink" Target="https://qubex-higimed.integraerp.com.br/ViewCockpit001/Cp01Cli?wFIL_DD=0101&amp;wDT_INI=13%2F10%2F2026&amp;wDT_FIM=13%2F10%2F2026&amp;wACY_DD=%5B%22%2A%2A%2A%2A%2A%2A%22%5D" TargetMode="External"/><Relationship Id="rId74" Type="http://schemas.openxmlformats.org/officeDocument/2006/relationships/hyperlink" Target="https://qubex-higimed.integraerp.com.br/ViewCockpit001/Cp01Cli?wFIL_DD=0101&amp;wDT_INI=15%2F10%2F2026&amp;wDT_FIM=15%2F10%2F2026&amp;wACY_DD=%5B%22%2A%2A%2A%2A%2A%2A%22%5D" TargetMode="External"/><Relationship Id="rId79" Type="http://schemas.openxmlformats.org/officeDocument/2006/relationships/hyperlink" Target="https://qubex-higimed.integraerp.com.br/ViewCockpit001/Cp01Cli?wFIL_DD=0101&amp;wDT_INI=16%2F10%2F2026&amp;wDT_FIM=16%2F10%2F2026&amp;wACY_DD=%5B%22%2A%2A%2A%2A%2A%2A%22%5D" TargetMode="External"/><Relationship Id="rId102" Type="http://schemas.openxmlformats.org/officeDocument/2006/relationships/hyperlink" Target="https://qubex-higimed.integraerp.com.br/ViewCockpit001/Cp01Cli?wFIL_DD=0101&amp;wDT_INI=22%2F10%2F2026&amp;wDT_FIM=22%2F10%2F2026&amp;wACY_DD=%5B%22%2A%2A%2A%2A%2A%2A%22%5D" TargetMode="External"/><Relationship Id="rId123" Type="http://schemas.openxmlformats.org/officeDocument/2006/relationships/hyperlink" Target="https://qubex-higimed.integraerp.com.br/ViewCockpit001/Cp01Cli?wFIL_DD=0101&amp;wDT_INI=28%2F10%2F2026&amp;wDT_FIM=28%2F10%2F2026&amp;wACY_DD=%5B%22%2A%2A%2A%2A%2A%2A%22%5D" TargetMode="External"/><Relationship Id="rId128" Type="http://schemas.openxmlformats.org/officeDocument/2006/relationships/hyperlink" Target="https://qubex-higimed.integraerp.com.br/ViewCockpit001/Cp01Cli?wFIL_DD=0101&amp;wDT_INI=28%2F10%2F2026&amp;wDT_FIM=28%2F10%2F2026&amp;wACY_DD=%5B%22%2A%2A%2A%2A%2A%2A%22%5D" TargetMode="External"/><Relationship Id="rId5" Type="http://schemas.openxmlformats.org/officeDocument/2006/relationships/hyperlink" Target="https://qubex-higimed.integraerp.com.br/ViewCockpit001/Cp01Cli?wFIL_DD=0101&amp;wDT_INI=01%2F10%2F2026&amp;wDT_FIM=01%2F10%2F2026&amp;wACY_DD=%5B%22%2A%2A%2A%2A%2A%2A%22%5D" TargetMode="External"/><Relationship Id="rId90" Type="http://schemas.openxmlformats.org/officeDocument/2006/relationships/hyperlink" Target="https://qubex-higimed.integraerp.com.br/ViewCockpit001/Cp01Cli?wFIL_DD=0101&amp;wDT_INI=20%2F10%2F2026&amp;wDT_FIM=20%2F10%2F2026&amp;wACY_DD=%5B%22%2A%2A%2A%2A%2A%2A%22%5D" TargetMode="External"/><Relationship Id="rId95" Type="http://schemas.openxmlformats.org/officeDocument/2006/relationships/hyperlink" Target="https://qubex-higimed.integraerp.com.br/ViewCockpit001/Cp01Cli?wFIL_DD=0102&amp;wDT_INI=21%2F10%2F2026&amp;wDT_FIM=21%2F10%2F2026&amp;wACY_DD=%5B%22%2A%2A%2A%2A%2A%2A%22%5D" TargetMode="External"/><Relationship Id="rId22" Type="http://schemas.openxmlformats.org/officeDocument/2006/relationships/hyperlink" Target="https://qubex-higimed.integraerp.com.br/ViewCockpit001/Cp01Cli?wFIL_DD=0101&amp;wDT_INI=06%2F10%2F2026&amp;wDT_FIM=06%2F10%2F2026&amp;wACY_DD=%5B%22%2A%2A%2A%2A%2A%2A%22%5D" TargetMode="External"/><Relationship Id="rId27" Type="http://schemas.openxmlformats.org/officeDocument/2006/relationships/hyperlink" Target="https://qubex-higimed.integraerp.com.br/ViewCockpit001/Cp01Cli?wFIL_DD=0102&amp;wDT_INI=07%2F10%2F2026&amp;wDT_FIM=07%2F10%2F2026&amp;wACY_DD=%5B%22%2A%2A%2A%2A%2A%2A%22%5D" TargetMode="External"/><Relationship Id="rId43" Type="http://schemas.openxmlformats.org/officeDocument/2006/relationships/hyperlink" Target="https://qubex-higimed.integraerp.com.br/ViewCockpit001/Cp01Cli?wFIL_DD=0101&amp;wDT_INI=10%2F10%2F2026&amp;wDT_FIM=10%2F10%2F2026&amp;wACY_DD=%5B%22%2A%2A%2A%2A%2A%2A%22%5D" TargetMode="External"/><Relationship Id="rId48" Type="http://schemas.openxmlformats.org/officeDocument/2006/relationships/hyperlink" Target="https://qubex-higimed.integraerp.com.br/ViewCockpit001/Cp01Cli?wFIL_DD=0101&amp;wDT_INI=11%2F10%2F2026&amp;wDT_FIM=11%2F10%2F2026&amp;wACY_DD=%5B%22%2A%2A%2A%2A%2A%2A%22%5D" TargetMode="External"/><Relationship Id="rId64" Type="http://schemas.openxmlformats.org/officeDocument/2006/relationships/hyperlink" Target="https://qubex-higimed.integraerp.com.br/ViewCockpit001/Cp01Cli?wFIL_DD=0101&amp;wDT_INI=14%2F10%2F2026&amp;wDT_FIM=14%2F10%2F2026&amp;wACY_DD=%5B%22%2A%2A%2A%2A%2A%2A%22%5D" TargetMode="External"/><Relationship Id="rId69" Type="http://schemas.openxmlformats.org/officeDocument/2006/relationships/hyperlink" Target="https://qubex-higimed.integraerp.com.br/ViewCockpit001/Cp01Cli?wFIL_DD=0101&amp;wDT_INI=14%2F10%2F2026&amp;wDT_FIM=14%2F10%2F2026&amp;wACY_DD=%5B%22%2A%2A%2A%2A%2A%2A%22%5D" TargetMode="External"/><Relationship Id="rId113" Type="http://schemas.openxmlformats.org/officeDocument/2006/relationships/hyperlink" Target="https://qubex-higimed.integraerp.com.br/ViewCockpit001/Cp01Cli?wFIL_DD=0102&amp;wDT_INI=26%2F10%2F2026&amp;wDT_FIM=26%2F10%2F2026&amp;wACY_DD=%5B%22%2A%2A%2A%2A%2A%2A%22%5D" TargetMode="External"/><Relationship Id="rId118" Type="http://schemas.openxmlformats.org/officeDocument/2006/relationships/hyperlink" Target="https://qubex-higimed.integraerp.com.br/ViewCockpit001/Cp01Cli?wFIL_DD=0101&amp;wDT_INI=27%2F10%2F2026&amp;wDT_FIM=27%2F10%2F2026&amp;wACY_DD=%5B%22%2A%2A%2A%2A%2A%2A%22%5D" TargetMode="External"/><Relationship Id="rId134" Type="http://schemas.openxmlformats.org/officeDocument/2006/relationships/hyperlink" Target="https://qubex-higimed.integraerp.com.br/ViewCockpit001/Cp01Cli?wFIL_DD=0101&amp;wDT_INI=29%2F10%2F2026&amp;wDT_FIM=29%2F10%2F2026&amp;wACY_DD=%5B%22%2A%2A%2A%2A%2A%2A%22%5D" TargetMode="External"/><Relationship Id="rId80" Type="http://schemas.openxmlformats.org/officeDocument/2006/relationships/hyperlink" Target="https://qubex-higimed.integraerp.com.br/ViewCockpit001/Cp01Cli?wFIL_DD=0101&amp;wDT_INI=16%2F10%2F2026&amp;wDT_FIM=16%2F10%2F2026&amp;wACY_DD=%5B%22%2A%2A%2A%2A%2A%2A%22%5D" TargetMode="External"/><Relationship Id="rId85" Type="http://schemas.openxmlformats.org/officeDocument/2006/relationships/hyperlink" Target="https://qubex-higimed.integraerp.com.br/ViewCockpit001/Cp01Cli?wFIL_DD=0101&amp;wDT_INI=19%2F10%2F2026&amp;wDT_FIM=19%2F10%2F2026&amp;wACY_DD=%5B%22%2A%2A%2A%2A%2A%2A%22%5D" TargetMode="External"/><Relationship Id="rId12" Type="http://schemas.openxmlformats.org/officeDocument/2006/relationships/hyperlink" Target="https://qubex-higimed.integraerp.com.br/ViewCockpit001/Cp01Cli?wFIL_DD=0101&amp;wDT_INI=02%2F10%2F2026&amp;wDT_FIM=02%2F10%2F2026&amp;wACY_DD=%5B%22%2A%2A%2A%2A%2A%2A%22%5D" TargetMode="External"/><Relationship Id="rId17" Type="http://schemas.openxmlformats.org/officeDocument/2006/relationships/hyperlink" Target="https://qubex-higimed.integraerp.com.br/ViewCockpit001/Cp01Cli?wFIL_DD=0101&amp;wDT_INI=05%2F10%2F2026&amp;wDT_FIM=05%2F10%2F2026&amp;wACY_DD=%5B%22%2A%2A%2A%2A%2A%2A%22%5D" TargetMode="External"/><Relationship Id="rId33" Type="http://schemas.openxmlformats.org/officeDocument/2006/relationships/hyperlink" Target="https://qubex-higimed.integraerp.com.br/ViewCockpit001/Cp01Cli?wFIL_DD=0102&amp;wDT_INI=08%2F10%2F2026&amp;wDT_FIM=08%2F10%2F2026&amp;wACY_DD=%5B%22%2A%2A%2A%2A%2A%2A%22%5D" TargetMode="External"/><Relationship Id="rId38" Type="http://schemas.openxmlformats.org/officeDocument/2006/relationships/hyperlink" Target="https://qubex-higimed.integraerp.com.br/ViewCockpit001/Cp01Cli?wFIL_DD=0101&amp;wDT_INI=09%2F10%2F2026&amp;wDT_FIM=09%2F10%2F2026&amp;wACY_DD=%5B%22%2A%2A%2A%2A%2A%2A%22%5D" TargetMode="External"/><Relationship Id="rId59" Type="http://schemas.openxmlformats.org/officeDocument/2006/relationships/hyperlink" Target="https://qubex-higimed.integraerp.com.br/ViewCockpit001/Cp01Cli?wFIL_DD=0101&amp;wDT_INI=13%2F10%2F2026&amp;wDT_FIM=13%2F10%2F2026&amp;wACY_DD=%5B%22%2A%2A%2A%2A%2A%2A%22%5D" TargetMode="External"/><Relationship Id="rId103" Type="http://schemas.openxmlformats.org/officeDocument/2006/relationships/hyperlink" Target="https://qubex-higimed.integraerp.com.br/ViewCockpit001/Cp01Cli?wFIL_DD=0101&amp;wDT_INI=22%2F10%2F2026&amp;wDT_FIM=22%2F10%2F2026&amp;wACY_DD=%5B%22%2A%2A%2A%2A%2A%2A%22%5D" TargetMode="External"/><Relationship Id="rId108" Type="http://schemas.openxmlformats.org/officeDocument/2006/relationships/hyperlink" Target="https://qubex-higimed.integraerp.com.br/ViewCockpit001/Cp01Cli?wFIL_DD=0101&amp;wDT_INI=23%2F10%2F2026&amp;wDT_FIM=23%2F10%2F2026&amp;wACY_DD=%5B%22%2A%2A%2A%2A%2A%2A%22%5D" TargetMode="External"/><Relationship Id="rId124" Type="http://schemas.openxmlformats.org/officeDocument/2006/relationships/hyperlink" Target="https://qubex-higimed.integraerp.com.br/ViewCockpit001/Cp01Cli?wFIL_DD=0101&amp;wDT_INI=28%2F10%2F2026&amp;wDT_FIM=28%2F10%2F2026&amp;wACY_DD=%5B%22%2A%2A%2A%2A%2A%2A%22%5D" TargetMode="External"/><Relationship Id="rId129" Type="http://schemas.openxmlformats.org/officeDocument/2006/relationships/hyperlink" Target="https://qubex-higimed.integraerp.com.br/ViewCockpit001/Cp01Cli?wFIL_DD=0101&amp;wDT_INI=29%2F10%2F2026&amp;wDT_FIM=29%2F10%2F2026&amp;wACY_DD=%5B%22%2A%2A%2A%2A%2A%2A%22%5D" TargetMode="External"/><Relationship Id="rId54" Type="http://schemas.openxmlformats.org/officeDocument/2006/relationships/hyperlink" Target="https://qubex-higimed.integraerp.com.br/ViewCockpit001/Cp01Cli?wFIL_DD=0101&amp;wDT_INI=12%2F10%2F2026&amp;wDT_FIM=12%2F10%2F2026&amp;wACY_DD=%5B%22%2A%2A%2A%2A%2A%2A%22%5D" TargetMode="External"/><Relationship Id="rId70" Type="http://schemas.openxmlformats.org/officeDocument/2006/relationships/hyperlink" Target="https://qubex-higimed.integraerp.com.br/ViewCockpit001/Cp01Cli?wFIL_DD=0101&amp;wDT_INI=15%2F10%2F2026&amp;wDT_FIM=15%2F10%2F2026&amp;wACY_DD=%5B%22%2A%2A%2A%2A%2A%2A%22%5D" TargetMode="External"/><Relationship Id="rId75" Type="http://schemas.openxmlformats.org/officeDocument/2006/relationships/hyperlink" Target="https://qubex-higimed.integraerp.com.br/ViewCockpit001/Cp01Cli?wFIL_DD=0101&amp;wDT_INI=15%2F10%2F2026&amp;wDT_FIM=15%2F10%2F2026&amp;wACY_DD=%5B%22%2A%2A%2A%2A%2A%2A%22%5D" TargetMode="External"/><Relationship Id="rId91" Type="http://schemas.openxmlformats.org/officeDocument/2006/relationships/hyperlink" Target="https://qubex-higimed.integraerp.com.br/ViewCockpit001/Cp01Cli?wFIL_DD=0101&amp;wDT_INI=20%2F10%2F2026&amp;wDT_FIM=20%2F10%2F2026&amp;wACY_DD=%5B%22%2A%2A%2A%2A%2A%2A%22%5D" TargetMode="External"/><Relationship Id="rId96" Type="http://schemas.openxmlformats.org/officeDocument/2006/relationships/hyperlink" Target="https://qubex-higimed.integraerp.com.br/ViewCockpit001/Cp01Cli?wFIL_DD=0101&amp;wDT_INI=21%2F10%2F2026&amp;wDT_FIM=21%2F10%2F2026&amp;wACY_DD=%5B%22%2A%2A%2A%2A%2A%2A%22%5D" TargetMode="External"/><Relationship Id="rId1" Type="http://schemas.openxmlformats.org/officeDocument/2006/relationships/hyperlink" Target="https://qubex-higimed.integraerp.com.br/ViewCockpit001/Cp01Cli?wFIL_DD=0101&amp;wDT_INI=01%2F10%2F2026&amp;wDT_FIM=01%2F10%2F2026&amp;wACY_DD=%5B%22%2A%2A%2A%2A%2A%2A%22%5D" TargetMode="External"/><Relationship Id="rId6" Type="http://schemas.openxmlformats.org/officeDocument/2006/relationships/hyperlink" Target="https://qubex-higimed.integraerp.com.br/ViewCockpit001/Cp01Cli?wFIL_DD=0101&amp;wDT_INI=01%2F10%2F2026&amp;wDT_FIM=01%2F10%2F2026&amp;wACY_DD=%5B%22%2A%2A%2A%2A%2A%2A%22%5D" TargetMode="External"/><Relationship Id="rId23" Type="http://schemas.openxmlformats.org/officeDocument/2006/relationships/hyperlink" Target="https://qubex-higimed.integraerp.com.br/ViewCockpit001/Cp01Cli?wFIL_DD=0101&amp;wDT_INI=06%2F10%2F2026&amp;wDT_FIM=06%2F10%2F2026&amp;wACY_DD=%5B%22%2A%2A%2A%2A%2A%2A%22%5D" TargetMode="External"/><Relationship Id="rId28" Type="http://schemas.openxmlformats.org/officeDocument/2006/relationships/hyperlink" Target="https://qubex-higimed.integraerp.com.br/ViewCockpit001/Cp01Cli?wFIL_DD=0101&amp;wDT_INI=07%2F10%2F2026&amp;wDT_FIM=07%2F10%2F2026&amp;wACY_DD=%5B%22%2A%2A%2A%2A%2A%2A%22%5D" TargetMode="External"/><Relationship Id="rId49" Type="http://schemas.openxmlformats.org/officeDocument/2006/relationships/hyperlink" Target="https://qubex-higimed.integraerp.com.br/ViewCockpit001/Cp01Cli?wFIL_DD=0101&amp;wDT_INI=11%2F10%2F2026&amp;wDT_FIM=11%2F10%2F2026&amp;wACY_DD=%5B%22%2A%2A%2A%2A%2A%2A%22%5D" TargetMode="External"/><Relationship Id="rId114" Type="http://schemas.openxmlformats.org/officeDocument/2006/relationships/hyperlink" Target="https://qubex-higimed.integraerp.com.br/ViewCockpit001/Cp01Cli?wFIL_DD=0101&amp;wDT_INI=26%2F10%2F2026&amp;wDT_FIM=26%2F10%2F2026&amp;wACY_DD=%5B%22%2A%2A%2A%2A%2A%2A%22%5D" TargetMode="External"/><Relationship Id="rId119" Type="http://schemas.openxmlformats.org/officeDocument/2006/relationships/hyperlink" Target="https://qubex-higimed.integraerp.com.br/ViewCockpit001/Cp01Cli?wFIL_DD=0102&amp;wDT_INI=27%2F10%2F2026&amp;wDT_FIM=27%2F10%2F2026&amp;wACY_DD=%5B%22%2A%2A%2A%2A%2A%2A%22%5D" TargetMode="External"/><Relationship Id="rId44" Type="http://schemas.openxmlformats.org/officeDocument/2006/relationships/hyperlink" Target="https://qubex-higimed.integraerp.com.br/ViewCockpit001/Cp01Cli?wFIL_DD=0101&amp;wDT_INI=10%2F10%2F2026&amp;wDT_FIM=10%2F10%2F2026&amp;wACY_DD=%5B%22%2A%2A%2A%2A%2A%2A%22%5D" TargetMode="External"/><Relationship Id="rId60" Type="http://schemas.openxmlformats.org/officeDocument/2006/relationships/hyperlink" Target="https://qubex-higimed.integraerp.com.br/ViewCockpit001/Cp01Cli?wFIL_DD=0102&amp;wDT_INI=13%2F10%2F2026&amp;wDT_FIM=13%2F10%2F2026&amp;wACY_DD=%5B%22%2A%2A%2A%2A%2A%2A%22%5D" TargetMode="External"/><Relationship Id="rId65" Type="http://schemas.openxmlformats.org/officeDocument/2006/relationships/hyperlink" Target="https://qubex-higimed.integraerp.com.br/ViewCockpit001/Cp01Cli?wFIL_DD=0101&amp;wDT_INI=14%2F10%2F2026&amp;wDT_FIM=14%2F10%2F2026&amp;wACY_DD=%5B%22%2A%2A%2A%2A%2A%2A%22%5D" TargetMode="External"/><Relationship Id="rId81" Type="http://schemas.openxmlformats.org/officeDocument/2006/relationships/hyperlink" Target="https://qubex-higimed.integraerp.com.br/ViewCockpit001/Cp01Cli?wFIL_DD=0101&amp;wDT_INI=16%2F10%2F2026&amp;wDT_FIM=16%2F10%2F2026&amp;wACY_DD=%5B%22%2A%2A%2A%2A%2A%2A%22%5D" TargetMode="External"/><Relationship Id="rId86" Type="http://schemas.openxmlformats.org/officeDocument/2006/relationships/hyperlink" Target="https://qubex-higimed.integraerp.com.br/ViewCockpit001/Cp01Cli?wFIL_DD=0101&amp;wDT_INI=19%2F10%2F2026&amp;wDT_FIM=19%2F10%2F2026&amp;wACY_DD=%5B%22%2A%2A%2A%2A%2A%2A%22%5D" TargetMode="External"/><Relationship Id="rId130" Type="http://schemas.openxmlformats.org/officeDocument/2006/relationships/hyperlink" Target="https://qubex-higimed.integraerp.com.br/ViewCockpit001/Cp01Cli?wFIL_DD=0101&amp;wDT_INI=29%2F10%2F2026&amp;wDT_FIM=29%2F10%2F2026&amp;wACY_DD=%5B%22%2A%2A%2A%2A%2A%2A%22%5D" TargetMode="External"/><Relationship Id="rId135" Type="http://schemas.openxmlformats.org/officeDocument/2006/relationships/printerSettings" Target="../printerSettings/printerSettings1.bin"/><Relationship Id="rId13" Type="http://schemas.openxmlformats.org/officeDocument/2006/relationships/hyperlink" Target="https://qubex-higimed.integraerp.com.br/ViewCockpit001/Cp01Cli?wFIL_DD=0101&amp;wDT_INI=05%2F10%2F2026&amp;wDT_FIM=05%2F10%2F2026&amp;wACY_DD=%5B%22%2A%2A%2A%2A%2A%2A%22%5D" TargetMode="External"/><Relationship Id="rId18" Type="http://schemas.openxmlformats.org/officeDocument/2006/relationships/hyperlink" Target="https://qubex-higimed.integraerp.com.br/ViewCockpit001/Cp01Cli?wFIL_DD=0101&amp;wDT_INI=05%2F10%2F2026&amp;wDT_FIM=05%2F10%2F2026&amp;wACY_DD=%5B%22%2A%2A%2A%2A%2A%2A%22%5D" TargetMode="External"/><Relationship Id="rId39" Type="http://schemas.openxmlformats.org/officeDocument/2006/relationships/hyperlink" Target="https://qubex-higimed.integraerp.com.br/ViewCockpit001/Cp01Cli?wFIL_DD=0102&amp;wDT_INI=09%2F10%2F2026&amp;wDT_FIM=09%2F10%2F2026&amp;wACY_DD=%5B%22%2A%2A%2A%2A%2A%2A%22%5D" TargetMode="External"/><Relationship Id="rId109" Type="http://schemas.openxmlformats.org/officeDocument/2006/relationships/hyperlink" Target="https://qubex-higimed.integraerp.com.br/ViewCockpit001/Cp01Cli?wFIL_DD=0101&amp;wDT_INI=23%2F10%2F2026&amp;wDT_FIM=23%2F10%2F2026&amp;wACY_DD=%5B%22%2A%2A%2A%2A%2A%2A%22%5D" TargetMode="External"/><Relationship Id="rId34" Type="http://schemas.openxmlformats.org/officeDocument/2006/relationships/hyperlink" Target="https://qubex-higimed.integraerp.com.br/ViewCockpit001/Cp01Cli?wFIL_DD=0101&amp;wDT_INI=08%2F10%2F2026&amp;wDT_FIM=08%2F10%2F2026&amp;wACY_DD=%5B%22%2A%2A%2A%2A%2A%2A%22%5D" TargetMode="External"/><Relationship Id="rId50" Type="http://schemas.openxmlformats.org/officeDocument/2006/relationships/hyperlink" Target="https://qubex-higimed.integraerp.com.br/ViewCockpit001/Cp01Cli?wFIL_DD=0101&amp;wDT_INI=11%2F10%2F2026&amp;wDT_FIM=11%2F10%2F2026&amp;wACY_DD=%5B%22%2A%2A%2A%2A%2A%2A%22%5D" TargetMode="External"/><Relationship Id="rId55" Type="http://schemas.openxmlformats.org/officeDocument/2006/relationships/hyperlink" Target="https://qubex-higimed.integraerp.com.br/ViewCockpit001/Cp01Cli?wFIL_DD=0101&amp;wDT_INI=12%2F10%2F2026&amp;wDT_FIM=12%2F10%2F2026&amp;wACY_DD=%5B%22%2A%2A%2A%2A%2A%2A%22%5D" TargetMode="External"/><Relationship Id="rId76" Type="http://schemas.openxmlformats.org/officeDocument/2006/relationships/hyperlink" Target="https://qubex-higimed.integraerp.com.br/ViewCockpit001/Cp01Cli?wFIL_DD=0101&amp;wDT_INI=16%2F10%2F2026&amp;wDT_FIM=16%2F10%2F2026&amp;wACY_DD=%5B%22%2A%2A%2A%2A%2A%2A%22%5D" TargetMode="External"/><Relationship Id="rId97" Type="http://schemas.openxmlformats.org/officeDocument/2006/relationships/hyperlink" Target="https://qubex-higimed.integraerp.com.br/ViewCockpit001/Cp01Cli?wFIL_DD=0101&amp;wDT_INI=21%2F10%2F2026&amp;wDT_FIM=21%2F10%2F2026&amp;wACY_DD=%5B%22%2A%2A%2A%2A%2A%2A%22%5D" TargetMode="External"/><Relationship Id="rId104" Type="http://schemas.openxmlformats.org/officeDocument/2006/relationships/hyperlink" Target="https://qubex-higimed.integraerp.com.br/ViewCockpit001/Cp01Cli?wFIL_DD=0101&amp;wDT_INI=22%2F10%2F2026&amp;wDT_FIM=22%2F10%2F2026&amp;wACY_DD=%5B%22%2A%2A%2A%2A%2A%2A%22%5D" TargetMode="External"/><Relationship Id="rId120" Type="http://schemas.openxmlformats.org/officeDocument/2006/relationships/hyperlink" Target="https://qubex-higimed.integraerp.com.br/ViewCockpit001/Cp01Cli?wFIL_DD=0101&amp;wDT_INI=27%2F10%2F2026&amp;wDT_FIM=27%2F10%2F2026&amp;wACY_DD=%5B%22%2A%2A%2A%2A%2A%2A%22%5D" TargetMode="External"/><Relationship Id="rId125" Type="http://schemas.openxmlformats.org/officeDocument/2006/relationships/hyperlink" Target="https://qubex-higimed.integraerp.com.br/ViewCockpit001/Cp01Cli?wFIL_DD=0102&amp;wDT_INI=28%2F10%2F2026&amp;wDT_FIM=28%2F10%2F2026&amp;wACY_DD=%5B%22%2A%2A%2A%2A%2A%2A%22%5D" TargetMode="External"/><Relationship Id="rId7" Type="http://schemas.openxmlformats.org/officeDocument/2006/relationships/hyperlink" Target="https://qubex-higimed.integraerp.com.br/ViewCockpit001/Cp01Cli?wFIL_DD=0101&amp;wDT_INI=02%2F10%2F2026&amp;wDT_FIM=02%2F10%2F2026&amp;wACY_DD=%5B%22%2A%2A%2A%2A%2A%2A%22%5D" TargetMode="External"/><Relationship Id="rId71" Type="http://schemas.openxmlformats.org/officeDocument/2006/relationships/hyperlink" Target="https://qubex-higimed.integraerp.com.br/ViewCockpit001/Cp01Cli?wFIL_DD=0101&amp;wDT_INI=15%2F10%2F2026&amp;wDT_FIM=15%2F10%2F2026&amp;wACY_DD=%5B%22%2A%2A%2A%2A%2A%2A%22%5D" TargetMode="External"/><Relationship Id="rId92" Type="http://schemas.openxmlformats.org/officeDocument/2006/relationships/hyperlink" Target="https://qubex-higimed.integraerp.com.br/ViewCockpit001/Cp01Cli?wFIL_DD=0101&amp;wDT_INI=20%2F10%2F2026&amp;wDT_FIM=20%2F10%2F2026&amp;wACY_DD=%5B%22%2A%2A%2A%2A%2A%2A%22%5D" TargetMode="External"/><Relationship Id="rId2" Type="http://schemas.openxmlformats.org/officeDocument/2006/relationships/hyperlink" Target="https://qubex-higimed.integraerp.com.br/ViewCockpit001/Cp01Cli?wFIL_DD=0101&amp;wDT_INI=01%2F10%2F2026&amp;wDT_FIM=01%2F10%2F2026&amp;wACY_DD=%5B%22%2A%2A%2A%2A%2A%2A%22%5D" TargetMode="External"/><Relationship Id="rId29" Type="http://schemas.openxmlformats.org/officeDocument/2006/relationships/hyperlink" Target="https://qubex-higimed.integraerp.com.br/ViewCockpit001/Cp01Cli?wFIL_DD=0101&amp;wDT_INI=07%2F10%2F2026&amp;wDT_FIM=07%2F10%2F2026&amp;wACY_DD=%5B%22%2A%2A%2A%2A%2A%2A%22%5D" TargetMode="External"/><Relationship Id="rId24" Type="http://schemas.openxmlformats.org/officeDocument/2006/relationships/hyperlink" Target="https://qubex-higimed.integraerp.com.br/ViewCockpit001/Cp01Cli?wFIL_DD=0101&amp;wDT_INI=06%2F10%2F2026&amp;wDT_FIM=06%2F10%2F2026&amp;wACY_DD=%5B%22%2A%2A%2A%2A%2A%2A%22%5D" TargetMode="External"/><Relationship Id="rId40" Type="http://schemas.openxmlformats.org/officeDocument/2006/relationships/hyperlink" Target="https://qubex-higimed.integraerp.com.br/ViewCockpit001/Cp01Cli?wFIL_DD=0101&amp;wDT_INI=09%2F10%2F2026&amp;wDT_FIM=09%2F10%2F2026&amp;wACY_DD=%5B%22%2A%2A%2A%2A%2A%2A%22%5D" TargetMode="External"/><Relationship Id="rId45" Type="http://schemas.openxmlformats.org/officeDocument/2006/relationships/hyperlink" Target="https://qubex-higimed.integraerp.com.br/ViewCockpit001/Cp01Cli?wFIL_DD=0101&amp;wDT_INI=10%2F10%2F2026&amp;wDT_FIM=10%2F10%2F2026&amp;wACY_DD=%5B%22%2A%2A%2A%2A%2A%2A%22%5D" TargetMode="External"/><Relationship Id="rId66" Type="http://schemas.openxmlformats.org/officeDocument/2006/relationships/hyperlink" Target="https://qubex-higimed.integraerp.com.br/ViewCockpit001/Cp01Cli?wFIL_DD=0102&amp;wDT_INI=14%2F10%2F2026&amp;wDT_FIM=14%2F10%2F2026&amp;wACY_DD=%5B%22%2A%2A%2A%2A%2A%2A%22%5D" TargetMode="External"/><Relationship Id="rId87" Type="http://schemas.openxmlformats.org/officeDocument/2006/relationships/hyperlink" Target="https://qubex-higimed.integraerp.com.br/ViewCockpit001/Cp01Cli?wFIL_DD=0101&amp;wDT_INI=20%2F10%2F2026&amp;wDT_FIM=20%2F10%2F2026&amp;wACY_DD=%5B%22%2A%2A%2A%2A%2A%2A%22%5D" TargetMode="External"/><Relationship Id="rId110" Type="http://schemas.openxmlformats.org/officeDocument/2006/relationships/hyperlink" Target="https://qubex-higimed.integraerp.com.br/ViewCockpit001/Cp01Cli?wFIL_DD=0101&amp;wDT_INI=23%2F10%2F2026&amp;wDT_FIM=23%2F10%2F2026&amp;wACY_DD=%5B%22%2A%2A%2A%2A%2A%2A%22%5D" TargetMode="External"/><Relationship Id="rId115" Type="http://schemas.openxmlformats.org/officeDocument/2006/relationships/hyperlink" Target="https://qubex-higimed.integraerp.com.br/ViewCockpit001/Cp01Cli?wFIL_DD=0101&amp;wDT_INI=26%2F10%2F2026&amp;wDT_FIM=26%2F10%2F2026&amp;wACY_DD=%5B%22%2A%2A%2A%2A%2A%2A%22%5D" TargetMode="External"/><Relationship Id="rId131" Type="http://schemas.openxmlformats.org/officeDocument/2006/relationships/hyperlink" Target="https://qubex-higimed.integraerp.com.br/ViewCockpit001/Cp01Cli?wFIL_DD=0102&amp;wDT_INI=29%2F10%2F2026&amp;wDT_FIM=29%2F10%2F2026&amp;wACY_DD=%5B%22%2A%2A%2A%2A%2A%2A%22%5D" TargetMode="External"/><Relationship Id="rId61" Type="http://schemas.openxmlformats.org/officeDocument/2006/relationships/hyperlink" Target="https://qubex-higimed.integraerp.com.br/ViewCockpit001/Cp01Cli?wFIL_DD=0101&amp;wDT_INI=13%2F10%2F2026&amp;wDT_FIM=13%2F10%2F2026&amp;wACY_DD=%5B%22%2A%2A%2A%2A%2A%2A%22%5D" TargetMode="External"/><Relationship Id="rId82" Type="http://schemas.openxmlformats.org/officeDocument/2006/relationships/hyperlink" Target="https://qubex-higimed.integraerp.com.br/ViewCockpit001/Cp01Cli?wFIL_DD=0101&amp;wDT_INI=19%2F10%2F2026&amp;wDT_FIM=19%2F10%2F2026&amp;wACY_DD=%5B%22%2A%2A%2A%2A%2A%2A%22%5D" TargetMode="External"/><Relationship Id="rId19" Type="http://schemas.openxmlformats.org/officeDocument/2006/relationships/hyperlink" Target="https://qubex-higimed.integraerp.com.br/ViewCockpit001/Cp01Cli?wFIL_DD=0101&amp;wDT_INI=06%2F10%2F2026&amp;wDT_FIM=06%2F10%2F2026&amp;wACY_DD=%5B%22%2A%2A%2A%2A%2A%2A%22%5D" TargetMode="External"/><Relationship Id="rId14" Type="http://schemas.openxmlformats.org/officeDocument/2006/relationships/hyperlink" Target="https://qubex-higimed.integraerp.com.br/ViewCockpit001/Cp01Cli?wFIL_DD=0101&amp;wDT_INI=05%2F10%2F2026&amp;wDT_FIM=05%2F10%2F2026&amp;wACY_DD=%5B%22%2A%2A%2A%2A%2A%2A%22%5D" TargetMode="External"/><Relationship Id="rId30" Type="http://schemas.openxmlformats.org/officeDocument/2006/relationships/hyperlink" Target="https://qubex-higimed.integraerp.com.br/ViewCockpit001/Cp01Cli?wFIL_DD=0101&amp;wDT_INI=07%2F10%2F2026&amp;wDT_FIM=07%2F10%2F2026&amp;wACY_DD=%5B%22%2A%2A%2A%2A%2A%2A%22%5D" TargetMode="External"/><Relationship Id="rId35" Type="http://schemas.openxmlformats.org/officeDocument/2006/relationships/hyperlink" Target="https://qubex-higimed.integraerp.com.br/ViewCockpit001/Cp01Cli?wFIL_DD=0101&amp;wDT_INI=08%2F10%2F2026&amp;wDT_FIM=08%2F10%2F2026&amp;wACY_DD=%5B%22%2A%2A%2A%2A%2A%2A%22%5D" TargetMode="External"/><Relationship Id="rId56" Type="http://schemas.openxmlformats.org/officeDocument/2006/relationships/hyperlink" Target="https://qubex-higimed.integraerp.com.br/ViewCockpit001/Cp01Cli?wFIL_DD=0101&amp;wDT_INI=12%2F10%2F2026&amp;wDT_FIM=12%2F10%2F2026&amp;wACY_DD=%5B%22%2A%2A%2A%2A%2A%2A%22%5D" TargetMode="External"/><Relationship Id="rId77" Type="http://schemas.openxmlformats.org/officeDocument/2006/relationships/hyperlink" Target="https://qubex-higimed.integraerp.com.br/ViewCockpit001/Cp01Cli?wFIL_DD=0101&amp;wDT_INI=16%2F10%2F2026&amp;wDT_FIM=16%2F10%2F2026&amp;wACY_DD=%5B%22%2A%2A%2A%2A%2A%2A%22%5D" TargetMode="External"/><Relationship Id="rId100" Type="http://schemas.openxmlformats.org/officeDocument/2006/relationships/hyperlink" Target="https://qubex-higimed.integraerp.com.br/ViewCockpit001/Cp01Cli?wFIL_DD=0101&amp;wDT_INI=22%2F10%2F2026&amp;wDT_FIM=22%2F10%2F2026&amp;wACY_DD=%5B%22%2A%2A%2A%2A%2A%2A%22%5D" TargetMode="External"/><Relationship Id="rId105" Type="http://schemas.openxmlformats.org/officeDocument/2006/relationships/hyperlink" Target="https://qubex-higimed.integraerp.com.br/ViewCockpit001/Cp01Cli?wFIL_DD=0101&amp;wDT_INI=23%2F10%2F2026&amp;wDT_FIM=23%2F10%2F2026&amp;wACY_DD=%5B%22%2A%2A%2A%2A%2A%2A%22%5D" TargetMode="External"/><Relationship Id="rId126" Type="http://schemas.openxmlformats.org/officeDocument/2006/relationships/hyperlink" Target="https://qubex-higimed.integraerp.com.br/ViewCockpit001/Cp01Cli?wFIL_DD=0101&amp;wDT_INI=28%2F10%2F2026&amp;wDT_FIM=28%2F10%2F2026&amp;wACY_DD=%5B%22%2A%2A%2A%2A%2A%2A%22%5D" TargetMode="External"/><Relationship Id="rId8" Type="http://schemas.openxmlformats.org/officeDocument/2006/relationships/hyperlink" Target="https://qubex-higimed.integraerp.com.br/ViewCockpit001/Cp01Cli?wFIL_DD=0101&amp;wDT_INI=02%2F10%2F2026&amp;wDT_FIM=02%2F10%2F2026&amp;wACY_DD=%5B%22%2A%2A%2A%2A%2A%2A%22%5D" TargetMode="External"/><Relationship Id="rId51" Type="http://schemas.openxmlformats.org/officeDocument/2006/relationships/hyperlink" Target="https://qubex-higimed.integraerp.com.br/ViewCockpit001/Cp01Cli?wFIL_DD=0101&amp;wDT_INI=11%2F10%2F2026&amp;wDT_FIM=11%2F10%2F2026&amp;wACY_DD=%5B%22%2A%2A%2A%2A%2A%2A%22%5D" TargetMode="External"/><Relationship Id="rId72" Type="http://schemas.openxmlformats.org/officeDocument/2006/relationships/hyperlink" Target="https://qubex-higimed.integraerp.com.br/ViewCockpit001/Cp01Cli?wFIL_DD=0102&amp;wDT_INI=15%2F10%2F2026&amp;wDT_FIM=15%2F10%2F2026&amp;wACY_DD=%5B%22%2A%2A%2A%2A%2A%2A%22%5D" TargetMode="External"/><Relationship Id="rId93" Type="http://schemas.openxmlformats.org/officeDocument/2006/relationships/hyperlink" Target="https://qubex-higimed.integraerp.com.br/ViewCockpit001/Cp01Cli?wFIL_DD=0101&amp;wDT_INI=21%2F10%2F2026&amp;wDT_FIM=21%2F10%2F2026&amp;wACY_DD=%5B%22%2A%2A%2A%2A%2A%2A%22%5D" TargetMode="External"/><Relationship Id="rId98" Type="http://schemas.openxmlformats.org/officeDocument/2006/relationships/hyperlink" Target="https://qubex-higimed.integraerp.com.br/ViewCockpit001/Cp01Cli?wFIL_DD=0101&amp;wDT_INI=21%2F10%2F2026&amp;wDT_FIM=21%2F10%2F2026&amp;wACY_DD=%5B%22%2A%2A%2A%2A%2A%2A%22%5D" TargetMode="External"/><Relationship Id="rId121" Type="http://schemas.openxmlformats.org/officeDocument/2006/relationships/hyperlink" Target="https://qubex-higimed.integraerp.com.br/ViewCockpit001/Cp01Cli?wFIL_DD=0101&amp;wDT_INI=27%2F10%2F2026&amp;wDT_FIM=27%2F10%2F2026&amp;wACY_DD=%5B%22%2A%2A%2A%2A%2A%2A%22%5D" TargetMode="External"/><Relationship Id="rId3" Type="http://schemas.openxmlformats.org/officeDocument/2006/relationships/hyperlink" Target="https://qubex-higimed.integraerp.com.br/ViewCockpit001/Cp01Cli?wFIL_DD=0102&amp;wDT_INI=01%2F10%2F2026&amp;wDT_FIM=01%2F10%2F2026&amp;wACY_DD=%5B%22%2A%2A%2A%2A%2A%2A%22%5D" TargetMode="External"/><Relationship Id="rId25" Type="http://schemas.openxmlformats.org/officeDocument/2006/relationships/hyperlink" Target="https://qubex-higimed.integraerp.com.br/ViewCockpit001/Cp01Cli?wFIL_DD=0101&amp;wDT_INI=07%2F10%2F2026&amp;wDT_FIM=07%2F10%2F2026&amp;wACY_DD=%5B%22%2A%2A%2A%2A%2A%2A%22%5D" TargetMode="External"/><Relationship Id="rId46" Type="http://schemas.openxmlformats.org/officeDocument/2006/relationships/hyperlink" Target="https://qubex-higimed.integraerp.com.br/ViewCockpit001/Cp01Cli?wFIL_DD=0101&amp;wDT_INI=10%2F10%2F2026&amp;wDT_FIM=10%2F10%2F2026&amp;wACY_DD=%5B%22%2A%2A%2A%2A%2A%2A%22%5D" TargetMode="External"/><Relationship Id="rId67" Type="http://schemas.openxmlformats.org/officeDocument/2006/relationships/hyperlink" Target="https://qubex-higimed.integraerp.com.br/ViewCockpit001/Cp01Cli?wFIL_DD=0101&amp;wDT_INI=14%2F10%2F2026&amp;wDT_FIM=14%2F10%2F2026&amp;wACY_DD=%5B%22%2A%2A%2A%2A%2A%2A%22%5D" TargetMode="External"/><Relationship Id="rId116" Type="http://schemas.openxmlformats.org/officeDocument/2006/relationships/hyperlink" Target="https://qubex-higimed.integraerp.com.br/ViewCockpit001/Cp01Cli?wFIL_DD=0101&amp;wDT_INI=26%2F10%2F2026&amp;wDT_FIM=26%2F10%2F2026&amp;wACY_DD=%5B%22%2A%2A%2A%2A%2A%2A%22%5D" TargetMode="External"/><Relationship Id="rId20" Type="http://schemas.openxmlformats.org/officeDocument/2006/relationships/hyperlink" Target="https://qubex-higimed.integraerp.com.br/ViewCockpit001/Cp01Cli?wFIL_DD=0101&amp;wDT_INI=06%2F10%2F2026&amp;wDT_FIM=06%2F10%2F2026&amp;wACY_DD=%5B%22%2A%2A%2A%2A%2A%2A%22%5D" TargetMode="External"/><Relationship Id="rId41" Type="http://schemas.openxmlformats.org/officeDocument/2006/relationships/hyperlink" Target="https://qubex-higimed.integraerp.com.br/ViewCockpit001/Cp01Cli?wFIL_DD=0101&amp;wDT_INI=09%2F10%2F2026&amp;wDT_FIM=09%2F10%2F2026&amp;wACY_DD=%5B%22%2A%2A%2A%2A%2A%2A%22%5D" TargetMode="External"/><Relationship Id="rId62" Type="http://schemas.openxmlformats.org/officeDocument/2006/relationships/hyperlink" Target="https://qubex-higimed.integraerp.com.br/ViewCockpit001/Cp01Cli?wFIL_DD=0101&amp;wDT_INI=13%2F10%2F2026&amp;wDT_FIM=13%2F10%2F2026&amp;wACY_DD=%5B%22%2A%2A%2A%2A%2A%2A%22%5D" TargetMode="External"/><Relationship Id="rId83" Type="http://schemas.openxmlformats.org/officeDocument/2006/relationships/hyperlink" Target="https://qubex-higimed.integraerp.com.br/ViewCockpit001/Cp01Cli?wFIL_DD=0101&amp;wDT_INI=19%2F10%2F2026&amp;wDT_FIM=19%2F10%2F2026&amp;wACY_DD=%5B%22%2A%2A%2A%2A%2A%2A%22%5D" TargetMode="External"/><Relationship Id="rId88" Type="http://schemas.openxmlformats.org/officeDocument/2006/relationships/hyperlink" Target="https://qubex-higimed.integraerp.com.br/ViewCockpit001/Cp01Cli?wFIL_DD=0101&amp;wDT_INI=20%2F10%2F2026&amp;wDT_FIM=20%2F10%2F2026&amp;wACY_DD=%5B%22%2A%2A%2A%2A%2A%2A%22%5D" TargetMode="External"/><Relationship Id="rId111" Type="http://schemas.openxmlformats.org/officeDocument/2006/relationships/hyperlink" Target="https://qubex-higimed.integraerp.com.br/ViewCockpit001/Cp01Cli?wFIL_DD=0101&amp;wDT_INI=26%2F10%2F2026&amp;wDT_FIM=26%2F10%2F2026&amp;wACY_DD=%5B%22%2A%2A%2A%2A%2A%2A%22%5D" TargetMode="External"/><Relationship Id="rId132" Type="http://schemas.openxmlformats.org/officeDocument/2006/relationships/hyperlink" Target="https://qubex-higimed.integraerp.com.br/ViewCockpit001/Cp01Cli?wFIL_DD=0101&amp;wDT_INI=29%2F10%2F2026&amp;wDT_FIM=29%2F10%2F2026&amp;wACY_DD=%5B%22%2A%2A%2A%2A%2A%2A%22%5D" TargetMode="External"/><Relationship Id="rId15" Type="http://schemas.openxmlformats.org/officeDocument/2006/relationships/hyperlink" Target="https://qubex-higimed.integraerp.com.br/ViewCockpit001/Cp01Cli?wFIL_DD=0102&amp;wDT_INI=05%2F10%2F2026&amp;wDT_FIM=05%2F10%2F2026&amp;wACY_DD=%5B%22%2A%2A%2A%2A%2A%2A%22%5D" TargetMode="External"/><Relationship Id="rId36" Type="http://schemas.openxmlformats.org/officeDocument/2006/relationships/hyperlink" Target="https://qubex-higimed.integraerp.com.br/ViewCockpit001/Cp01Cli?wFIL_DD=0101&amp;wDT_INI=08%2F10%2F2026&amp;wDT_FIM=08%2F10%2F2026&amp;wACY_DD=%5B%22%2A%2A%2A%2A%2A%2A%22%5D" TargetMode="External"/><Relationship Id="rId57" Type="http://schemas.openxmlformats.org/officeDocument/2006/relationships/hyperlink" Target="https://qubex-higimed.integraerp.com.br/ViewCockpit001/Cp01Cli?wFIL_DD=0101&amp;wDT_INI=12%2F10%2F2026&amp;wDT_FIM=12%2F10%2F2026&amp;wACY_DD=%5B%22%2A%2A%2A%2A%2A%2A%22%5D" TargetMode="External"/><Relationship Id="rId106" Type="http://schemas.openxmlformats.org/officeDocument/2006/relationships/hyperlink" Target="https://qubex-higimed.integraerp.com.br/ViewCockpit001/Cp01Cli?wFIL_DD=0101&amp;wDT_INI=23%2F10%2F2026&amp;wDT_FIM=23%2F10%2F2026&amp;wACY_DD=%5B%22%2A%2A%2A%2A%2A%2A%22%5D" TargetMode="External"/><Relationship Id="rId127" Type="http://schemas.openxmlformats.org/officeDocument/2006/relationships/hyperlink" Target="https://qubex-higimed.integraerp.com.br/ViewCockpit001/Cp01Cli?wFIL_DD=0101&amp;wDT_INI=28%2F10%2F2026&amp;wDT_FIM=28%2F10%2F2026&amp;wACY_DD=%5B%22%2A%2A%2A%2A%2A%2A%22%5D" TargetMode="External"/><Relationship Id="rId10" Type="http://schemas.openxmlformats.org/officeDocument/2006/relationships/hyperlink" Target="https://qubex-higimed.integraerp.com.br/ViewCockpit001/Cp01Cli?wFIL_DD=0101&amp;wDT_INI=02%2F10%2F2026&amp;wDT_FIM=02%2F10%2F2026&amp;wACY_DD=%5B%22%2A%2A%2A%2A%2A%2A%22%5D" TargetMode="External"/><Relationship Id="rId31" Type="http://schemas.openxmlformats.org/officeDocument/2006/relationships/hyperlink" Target="https://qubex-higimed.integraerp.com.br/ViewCockpit001/Cp01Cli?wFIL_DD=0101&amp;wDT_INI=08%2F10%2F2026&amp;wDT_FIM=08%2F10%2F2026&amp;wACY_DD=%5B%22%2A%2A%2A%2A%2A%2A%22%5D" TargetMode="External"/><Relationship Id="rId52" Type="http://schemas.openxmlformats.org/officeDocument/2006/relationships/hyperlink" Target="https://qubex-higimed.integraerp.com.br/ViewCockpit001/Cp01Cli?wFIL_DD=0101&amp;wDT_INI=11%2F10%2F2026&amp;wDT_FIM=11%2F10%2F2026&amp;wACY_DD=%5B%22%2A%2A%2A%2A%2A%2A%22%5D" TargetMode="External"/><Relationship Id="rId73" Type="http://schemas.openxmlformats.org/officeDocument/2006/relationships/hyperlink" Target="https://qubex-higimed.integraerp.com.br/ViewCockpit001/Cp01Cli?wFIL_DD=0101&amp;wDT_INI=15%2F10%2F2026&amp;wDT_FIM=15%2F10%2F2026&amp;wACY_DD=%5B%22%2A%2A%2A%2A%2A%2A%22%5D" TargetMode="External"/><Relationship Id="rId78" Type="http://schemas.openxmlformats.org/officeDocument/2006/relationships/hyperlink" Target="https://qubex-higimed.integraerp.com.br/ViewCockpit001/Cp01Cli?wFIL_DD=0102&amp;wDT_INI=16%2F10%2F2026&amp;wDT_FIM=16%2F10%2F2026&amp;wACY_DD=%5B%22%2A%2A%2A%2A%2A%2A%22%5D" TargetMode="External"/><Relationship Id="rId94" Type="http://schemas.openxmlformats.org/officeDocument/2006/relationships/hyperlink" Target="https://qubex-higimed.integraerp.com.br/ViewCockpit001/Cp01Cli?wFIL_DD=0101&amp;wDT_INI=21%2F10%2F2026&amp;wDT_FIM=21%2F10%2F2026&amp;wACY_DD=%5B%22%2A%2A%2A%2A%2A%2A%22%5D" TargetMode="External"/><Relationship Id="rId99" Type="http://schemas.openxmlformats.org/officeDocument/2006/relationships/hyperlink" Target="https://qubex-higimed.integraerp.com.br/ViewCockpit001/Cp01Cli?wFIL_DD=0101&amp;wDT_INI=22%2F10%2F2026&amp;wDT_FIM=22%2F10%2F2026&amp;wACY_DD=%5B%22%2A%2A%2A%2A%2A%2A%22%5D" TargetMode="External"/><Relationship Id="rId101" Type="http://schemas.openxmlformats.org/officeDocument/2006/relationships/hyperlink" Target="https://qubex-higimed.integraerp.com.br/ViewCockpit001/Cp01Cli?wFIL_DD=0102&amp;wDT_INI=22%2F10%2F2026&amp;wDT_FIM=22%2F10%2F2026&amp;wACY_DD=%5B%22%2A%2A%2A%2A%2A%2A%22%5D" TargetMode="External"/><Relationship Id="rId122" Type="http://schemas.openxmlformats.org/officeDocument/2006/relationships/hyperlink" Target="https://qubex-higimed.integraerp.com.br/ViewCockpit001/Cp01Cli?wFIL_DD=0101&amp;wDT_INI=27%2F10%2F2026&amp;wDT_FIM=27%2F10%2F2026&amp;wACY_DD=%5B%22%2A%2A%2A%2A%2A%2A%22%5D" TargetMode="External"/><Relationship Id="rId4" Type="http://schemas.openxmlformats.org/officeDocument/2006/relationships/hyperlink" Target="https://qubex-higimed.integraerp.com.br/ViewCockpit001/Cp01Cli?wFIL_DD=0101&amp;wDT_INI=01%2F10%2F2026&amp;wDT_FIM=01%2F10%2F2026&amp;wACY_DD=%5B%22%2A%2A%2A%2A%2A%2A%22%5D" TargetMode="External"/><Relationship Id="rId9" Type="http://schemas.openxmlformats.org/officeDocument/2006/relationships/hyperlink" Target="https://qubex-higimed.integraerp.com.br/ViewCockpit001/Cp01Cli?wFIL_DD=0102&amp;wDT_INI=02%2F10%2F2026&amp;wDT_FIM=02%2F10%2F2026&amp;wACY_DD=%5B%22%2A%2A%2A%2A%2A%2A%22%5D" TargetMode="External"/><Relationship Id="rId26" Type="http://schemas.openxmlformats.org/officeDocument/2006/relationships/hyperlink" Target="https://qubex-higimed.integraerp.com.br/ViewCockpit001/Cp01Cli?wFIL_DD=0101&amp;wDT_INI=07%2F10%2F2026&amp;wDT_FIM=07%2F10%2F2026&amp;wACY_DD=%5B%22%2A%2A%2A%2A%2A%2A%22%5D" TargetMode="External"/><Relationship Id="rId47" Type="http://schemas.openxmlformats.org/officeDocument/2006/relationships/hyperlink" Target="https://qubex-higimed.integraerp.com.br/ViewCockpit001/Cp01Cli?wFIL_DD=0101&amp;wDT_INI=10%2F10%2F2026&amp;wDT_FIM=10%2F10%2F2026&amp;wACY_DD=%5B%22%2A%2A%2A%2A%2A%2A%22%5D" TargetMode="External"/><Relationship Id="rId68" Type="http://schemas.openxmlformats.org/officeDocument/2006/relationships/hyperlink" Target="https://qubex-higimed.integraerp.com.br/ViewCockpit001/Cp01Cli?wFIL_DD=0101&amp;wDT_INI=14%2F10%2F2026&amp;wDT_FIM=14%2F10%2F2026&amp;wACY_DD=%5B%22%2A%2A%2A%2A%2A%2A%22%5D" TargetMode="External"/><Relationship Id="rId89" Type="http://schemas.openxmlformats.org/officeDocument/2006/relationships/hyperlink" Target="https://qubex-higimed.integraerp.com.br/ViewCockpit001/Cp01Cli?wFIL_DD=0102&amp;wDT_INI=20%2F10%2F2026&amp;wDT_FIM=20%2F10%2F2026&amp;wACY_DD=%5B%22%2A%2A%2A%2A%2A%2A%22%5D" TargetMode="External"/><Relationship Id="rId112" Type="http://schemas.openxmlformats.org/officeDocument/2006/relationships/hyperlink" Target="https://qubex-higimed.integraerp.com.br/ViewCockpit001/Cp01Cli?wFIL_DD=0101&amp;wDT_INI=26%2F10%2F2026&amp;wDT_FIM=26%2F10%2F2026&amp;wACY_DD=%5B%22%2A%2A%2A%2A%2A%2A%22%5D" TargetMode="External"/><Relationship Id="rId133" Type="http://schemas.openxmlformats.org/officeDocument/2006/relationships/hyperlink" Target="https://qubex-higimed.integraerp.com.br/ViewCockpit001/Cp01Cli?wFIL_DD=0101&amp;wDT_INI=29%2F10%2F2026&amp;wDT_FIM=29%2F10%2F2026&amp;wACY_DD=%5B%22%2A%2A%2A%2A%2A%2A%22%5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01EBF-008C-4E37-90C0-CF2D419D5300}">
  <dimension ref="A1:K26"/>
  <sheetViews>
    <sheetView tabSelected="1" workbookViewId="0">
      <selection activeCell="M33" sqref="M33"/>
    </sheetView>
  </sheetViews>
  <sheetFormatPr defaultRowHeight="15.75" thickBottom="1" x14ac:dyDescent="0.3"/>
  <cols>
    <col min="1" max="1" width="10.42578125" style="1" bestFit="1" customWidth="1"/>
    <col min="2" max="3" width="11.7109375" bestFit="1" customWidth="1"/>
    <col min="4" max="4" width="10.85546875" bestFit="1" customWidth="1"/>
    <col min="5" max="5" width="10.140625" bestFit="1" customWidth="1"/>
    <col min="6" max="6" width="11.7109375" bestFit="1" customWidth="1"/>
    <col min="7" max="7" width="11.140625" customWidth="1"/>
    <col min="8" max="8" width="11.7109375" bestFit="1" customWidth="1"/>
    <col min="10" max="10" width="11.7109375" bestFit="1" customWidth="1"/>
    <col min="11" max="11" width="10.42578125" bestFit="1" customWidth="1"/>
  </cols>
  <sheetData>
    <row r="1" spans="1:11" ht="15.75" customHeight="1" thickBot="1" x14ac:dyDescent="0.3">
      <c r="A1" s="14" t="s">
        <v>76</v>
      </c>
      <c r="B1" s="18" t="s">
        <v>77</v>
      </c>
      <c r="C1" s="19"/>
      <c r="D1" s="18" t="s">
        <v>248</v>
      </c>
      <c r="E1" s="19"/>
      <c r="F1" s="18" t="s">
        <v>249</v>
      </c>
      <c r="G1" s="19"/>
      <c r="H1" s="18" t="s">
        <v>250</v>
      </c>
      <c r="I1" s="19"/>
      <c r="J1" s="16" t="s">
        <v>251</v>
      </c>
      <c r="K1" s="16" t="s">
        <v>252</v>
      </c>
    </row>
    <row r="2" spans="1:11" ht="16.5" thickTop="1" thickBot="1" x14ac:dyDescent="0.3">
      <c r="A2" s="15"/>
      <c r="B2" s="7" t="s">
        <v>78</v>
      </c>
      <c r="C2" s="7" t="s">
        <v>79</v>
      </c>
      <c r="D2" s="7" t="s">
        <v>78</v>
      </c>
      <c r="E2" s="7" t="s">
        <v>79</v>
      </c>
      <c r="F2" s="7" t="s">
        <v>78</v>
      </c>
      <c r="G2" s="7" t="s">
        <v>79</v>
      </c>
      <c r="H2" s="7" t="s">
        <v>78</v>
      </c>
      <c r="I2" s="7" t="s">
        <v>79</v>
      </c>
      <c r="J2" s="17"/>
      <c r="K2" s="17"/>
    </row>
    <row r="3" spans="1:11" ht="16.5" thickTop="1" thickBot="1" x14ac:dyDescent="0.3">
      <c r="A3" s="9">
        <v>46296</v>
      </c>
      <c r="B3" s="10">
        <v>271426.78000000003</v>
      </c>
      <c r="C3" s="11">
        <v>0</v>
      </c>
      <c r="D3" s="11">
        <v>619.79999999999995</v>
      </c>
      <c r="E3" s="11">
        <v>0</v>
      </c>
      <c r="F3" s="8"/>
      <c r="G3" s="11">
        <v>0</v>
      </c>
      <c r="H3" s="8"/>
      <c r="I3" s="11">
        <v>0</v>
      </c>
      <c r="J3" s="12">
        <v>272046.58</v>
      </c>
      <c r="K3" s="12">
        <f>SUM(C3+E3+G3+I3)</f>
        <v>0</v>
      </c>
    </row>
    <row r="4" spans="1:11" thickBot="1" x14ac:dyDescent="0.3">
      <c r="A4" s="9">
        <v>46297</v>
      </c>
      <c r="B4" s="10">
        <v>423201.75</v>
      </c>
      <c r="C4" s="10">
        <v>-26599.88</v>
      </c>
      <c r="D4" s="10">
        <v>60744.65</v>
      </c>
      <c r="E4" s="11">
        <v>0</v>
      </c>
      <c r="F4" s="8"/>
      <c r="G4" s="11">
        <v>0</v>
      </c>
      <c r="H4" s="8"/>
      <c r="I4" s="11">
        <v>0</v>
      </c>
      <c r="J4" s="12">
        <v>457346.52</v>
      </c>
      <c r="K4" s="12">
        <f t="shared" ref="K4:K25" si="0">SUM(C4+E4+G4+I4)</f>
        <v>-26599.88</v>
      </c>
    </row>
    <row r="5" spans="1:11" thickBot="1" x14ac:dyDescent="0.3">
      <c r="A5" s="9">
        <v>46300</v>
      </c>
      <c r="B5" s="10">
        <v>279190.96000000002</v>
      </c>
      <c r="C5" s="10">
        <v>-7502.05</v>
      </c>
      <c r="D5" s="10">
        <v>33687.550000000003</v>
      </c>
      <c r="E5" s="11">
        <v>0</v>
      </c>
      <c r="F5" s="8"/>
      <c r="G5" s="11">
        <v>0</v>
      </c>
      <c r="H5" s="8"/>
      <c r="I5" s="11">
        <v>0</v>
      </c>
      <c r="J5" s="12">
        <v>305376.46000000002</v>
      </c>
      <c r="K5" s="12">
        <f t="shared" si="0"/>
        <v>-7502.05</v>
      </c>
    </row>
    <row r="6" spans="1:11" thickBot="1" x14ac:dyDescent="0.3">
      <c r="A6" s="9">
        <v>46301</v>
      </c>
      <c r="B6" s="10">
        <v>425539.17</v>
      </c>
      <c r="C6" s="10">
        <v>-15443.4</v>
      </c>
      <c r="D6" s="10">
        <v>51272.05</v>
      </c>
      <c r="E6" s="11">
        <v>-149.56</v>
      </c>
      <c r="F6" s="8"/>
      <c r="G6" s="11">
        <v>0</v>
      </c>
      <c r="H6" s="8"/>
      <c r="I6" s="11">
        <v>0</v>
      </c>
      <c r="J6" s="12">
        <v>461218.26</v>
      </c>
      <c r="K6" s="12">
        <f t="shared" si="0"/>
        <v>-15592.96</v>
      </c>
    </row>
    <row r="7" spans="1:11" thickBot="1" x14ac:dyDescent="0.3">
      <c r="A7" s="9">
        <v>46302</v>
      </c>
      <c r="B7" s="10">
        <v>306641.53000000003</v>
      </c>
      <c r="C7" s="10">
        <v>-12949.2</v>
      </c>
      <c r="D7" s="10">
        <v>26119.68</v>
      </c>
      <c r="E7" s="11">
        <v>0</v>
      </c>
      <c r="F7" s="8"/>
      <c r="G7" s="11">
        <v>0</v>
      </c>
      <c r="H7" s="8"/>
      <c r="I7" s="11">
        <v>0</v>
      </c>
      <c r="J7" s="12">
        <v>319812.01</v>
      </c>
      <c r="K7" s="12">
        <f t="shared" si="0"/>
        <v>-12949.2</v>
      </c>
    </row>
    <row r="8" spans="1:11" thickBot="1" x14ac:dyDescent="0.3">
      <c r="A8" s="9">
        <v>46303</v>
      </c>
      <c r="B8" s="10">
        <v>578381.43999999994</v>
      </c>
      <c r="C8" s="11">
        <v>0</v>
      </c>
      <c r="D8" s="10">
        <v>14425.52</v>
      </c>
      <c r="E8" s="11">
        <v>0</v>
      </c>
      <c r="F8" s="8"/>
      <c r="G8" s="11">
        <v>0</v>
      </c>
      <c r="H8" s="8"/>
      <c r="I8" s="11">
        <v>0</v>
      </c>
      <c r="J8" s="12">
        <v>592806.96</v>
      </c>
      <c r="K8" s="12">
        <f t="shared" si="0"/>
        <v>0</v>
      </c>
    </row>
    <row r="9" spans="1:11" thickBot="1" x14ac:dyDescent="0.3">
      <c r="A9" s="9">
        <v>46304</v>
      </c>
      <c r="B9" s="10">
        <v>307842.78999999998</v>
      </c>
      <c r="C9" s="10">
        <v>-70366.45</v>
      </c>
      <c r="D9" s="10">
        <v>46378.81</v>
      </c>
      <c r="E9" s="11">
        <v>-317</v>
      </c>
      <c r="F9" s="8"/>
      <c r="G9" s="11">
        <v>0</v>
      </c>
      <c r="H9" s="8"/>
      <c r="I9" s="11">
        <v>0</v>
      </c>
      <c r="J9" s="12">
        <v>283538.15000000002</v>
      </c>
      <c r="K9" s="12">
        <f t="shared" si="0"/>
        <v>-70683.45</v>
      </c>
    </row>
    <row r="10" spans="1:11" thickBot="1" x14ac:dyDescent="0.3">
      <c r="A10" s="9">
        <v>46305</v>
      </c>
      <c r="B10" s="10">
        <v>203772.98</v>
      </c>
      <c r="C10" s="11">
        <v>0</v>
      </c>
      <c r="D10" s="8"/>
      <c r="E10" s="11">
        <v>0</v>
      </c>
      <c r="F10" s="8"/>
      <c r="G10" s="11">
        <v>0</v>
      </c>
      <c r="H10" s="8"/>
      <c r="I10" s="11">
        <v>0</v>
      </c>
      <c r="J10" s="12">
        <v>203772.98</v>
      </c>
      <c r="K10" s="12">
        <f t="shared" si="0"/>
        <v>0</v>
      </c>
    </row>
    <row r="11" spans="1:11" thickBot="1" x14ac:dyDescent="0.3">
      <c r="A11" s="9">
        <v>46306</v>
      </c>
      <c r="B11" s="10">
        <v>169560.7</v>
      </c>
      <c r="C11" s="11">
        <v>0</v>
      </c>
      <c r="D11" s="8"/>
      <c r="E11" s="11">
        <v>0</v>
      </c>
      <c r="F11" s="8"/>
      <c r="G11" s="11">
        <v>0</v>
      </c>
      <c r="H11" s="8"/>
      <c r="I11" s="11">
        <v>0</v>
      </c>
      <c r="J11" s="12">
        <v>169560.7</v>
      </c>
      <c r="K11" s="12">
        <f t="shared" si="0"/>
        <v>0</v>
      </c>
    </row>
    <row r="12" spans="1:11" thickBot="1" x14ac:dyDescent="0.3">
      <c r="A12" s="9">
        <v>46307</v>
      </c>
      <c r="B12" s="10">
        <v>216275.07</v>
      </c>
      <c r="C12" s="11">
        <v>0</v>
      </c>
      <c r="D12" s="8"/>
      <c r="E12" s="11">
        <v>0</v>
      </c>
      <c r="F12" s="8"/>
      <c r="G12" s="11">
        <v>0</v>
      </c>
      <c r="H12" s="8"/>
      <c r="I12" s="11">
        <v>0</v>
      </c>
      <c r="J12" s="12">
        <v>216275.07</v>
      </c>
      <c r="K12" s="12">
        <f t="shared" si="0"/>
        <v>0</v>
      </c>
    </row>
    <row r="13" spans="1:11" thickBot="1" x14ac:dyDescent="0.3">
      <c r="A13" s="9">
        <v>46308</v>
      </c>
      <c r="B13" s="10">
        <v>476395.59</v>
      </c>
      <c r="C13" s="10">
        <v>-29468.28</v>
      </c>
      <c r="D13" s="10">
        <v>57788.11</v>
      </c>
      <c r="E13" s="11">
        <v>0</v>
      </c>
      <c r="F13" s="8"/>
      <c r="G13" s="11">
        <v>0</v>
      </c>
      <c r="H13" s="8"/>
      <c r="I13" s="11">
        <v>0</v>
      </c>
      <c r="J13" s="12">
        <v>504715.42</v>
      </c>
      <c r="K13" s="12">
        <f t="shared" si="0"/>
        <v>-29468.28</v>
      </c>
    </row>
    <row r="14" spans="1:11" thickBot="1" x14ac:dyDescent="0.3">
      <c r="A14" s="9">
        <v>46309</v>
      </c>
      <c r="B14" s="10">
        <v>278778.15999999997</v>
      </c>
      <c r="C14" s="10">
        <v>-14134.51</v>
      </c>
      <c r="D14" s="10">
        <v>70986.45</v>
      </c>
      <c r="E14" s="11">
        <v>0</v>
      </c>
      <c r="F14" s="8"/>
      <c r="G14" s="11">
        <v>0</v>
      </c>
      <c r="H14" s="8"/>
      <c r="I14" s="11">
        <v>0</v>
      </c>
      <c r="J14" s="12">
        <v>335630.1</v>
      </c>
      <c r="K14" s="12">
        <f t="shared" si="0"/>
        <v>-14134.51</v>
      </c>
    </row>
    <row r="15" spans="1:11" thickBot="1" x14ac:dyDescent="0.3">
      <c r="A15" s="9">
        <v>46310</v>
      </c>
      <c r="B15" s="10">
        <v>281419.15999999997</v>
      </c>
      <c r="C15" s="11">
        <v>0</v>
      </c>
      <c r="D15" s="10">
        <v>33803.629999999997</v>
      </c>
      <c r="E15" s="10">
        <v>-11085.38</v>
      </c>
      <c r="F15" s="8"/>
      <c r="G15" s="11">
        <v>0</v>
      </c>
      <c r="H15" s="8"/>
      <c r="I15" s="11">
        <v>0</v>
      </c>
      <c r="J15" s="12">
        <v>304137.40999999997</v>
      </c>
      <c r="K15" s="12">
        <f t="shared" si="0"/>
        <v>-11085.38</v>
      </c>
    </row>
    <row r="16" spans="1:11" thickBot="1" x14ac:dyDescent="0.3">
      <c r="A16" s="9">
        <v>46311</v>
      </c>
      <c r="B16" s="10">
        <v>1353057.37</v>
      </c>
      <c r="C16" s="11">
        <v>0</v>
      </c>
      <c r="D16" s="10">
        <v>29492.51</v>
      </c>
      <c r="E16" s="11">
        <v>0</v>
      </c>
      <c r="F16" s="8"/>
      <c r="G16" s="11">
        <v>0</v>
      </c>
      <c r="H16" s="8"/>
      <c r="I16" s="11">
        <v>0</v>
      </c>
      <c r="J16" s="12">
        <v>1382549.88</v>
      </c>
      <c r="K16" s="12">
        <f t="shared" si="0"/>
        <v>0</v>
      </c>
    </row>
    <row r="17" spans="1:11" thickBot="1" x14ac:dyDescent="0.3">
      <c r="A17" s="9">
        <v>46314</v>
      </c>
      <c r="B17" s="10">
        <v>336565.44</v>
      </c>
      <c r="C17" s="11">
        <v>0</v>
      </c>
      <c r="D17" s="8"/>
      <c r="E17" s="11">
        <v>0</v>
      </c>
      <c r="F17" s="8"/>
      <c r="G17" s="11">
        <v>0</v>
      </c>
      <c r="H17" s="8"/>
      <c r="I17" s="11">
        <v>0</v>
      </c>
      <c r="J17" s="12">
        <v>336565.44</v>
      </c>
      <c r="K17" s="12">
        <f t="shared" si="0"/>
        <v>0</v>
      </c>
    </row>
    <row r="18" spans="1:11" thickBot="1" x14ac:dyDescent="0.3">
      <c r="A18" s="9">
        <v>46315</v>
      </c>
      <c r="B18" s="10">
        <v>381768.26</v>
      </c>
      <c r="C18" s="10">
        <v>-63152.34</v>
      </c>
      <c r="D18" s="10">
        <v>51209.3</v>
      </c>
      <c r="E18" s="11">
        <v>0</v>
      </c>
      <c r="F18" s="8"/>
      <c r="G18" s="11">
        <v>0</v>
      </c>
      <c r="H18" s="8"/>
      <c r="I18" s="11">
        <v>0</v>
      </c>
      <c r="J18" s="12">
        <v>369825.22</v>
      </c>
      <c r="K18" s="12">
        <f t="shared" si="0"/>
        <v>-63152.34</v>
      </c>
    </row>
    <row r="19" spans="1:11" thickBot="1" x14ac:dyDescent="0.3">
      <c r="A19" s="9">
        <v>46316</v>
      </c>
      <c r="B19" s="10">
        <v>548968.22</v>
      </c>
      <c r="C19" s="10">
        <v>-24640.94</v>
      </c>
      <c r="D19" s="10">
        <v>43879.51</v>
      </c>
      <c r="E19" s="11">
        <v>0</v>
      </c>
      <c r="F19" s="8"/>
      <c r="G19" s="11">
        <v>0</v>
      </c>
      <c r="H19" s="8"/>
      <c r="I19" s="11">
        <v>0</v>
      </c>
      <c r="J19" s="12">
        <v>568206.79</v>
      </c>
      <c r="K19" s="12">
        <f t="shared" si="0"/>
        <v>-24640.94</v>
      </c>
    </row>
    <row r="20" spans="1:11" thickBot="1" x14ac:dyDescent="0.3">
      <c r="A20" s="9">
        <v>46317</v>
      </c>
      <c r="B20" s="10">
        <v>647160.07999999996</v>
      </c>
      <c r="C20" s="10">
        <v>-26687.200000000001</v>
      </c>
      <c r="D20" s="10">
        <v>50411.43</v>
      </c>
      <c r="E20" s="11">
        <v>0</v>
      </c>
      <c r="F20" s="8"/>
      <c r="G20" s="11">
        <v>0</v>
      </c>
      <c r="H20" s="8"/>
      <c r="I20" s="11">
        <v>0</v>
      </c>
      <c r="J20" s="12">
        <v>670884.31000000006</v>
      </c>
      <c r="K20" s="12">
        <f t="shared" si="0"/>
        <v>-26687.200000000001</v>
      </c>
    </row>
    <row r="21" spans="1:11" thickBot="1" x14ac:dyDescent="0.3">
      <c r="A21" s="9">
        <v>46318</v>
      </c>
      <c r="B21" s="10">
        <v>380210.58</v>
      </c>
      <c r="C21" s="10">
        <v>-19833.009999999998</v>
      </c>
      <c r="D21" s="10">
        <v>22362.76</v>
      </c>
      <c r="E21" s="11">
        <v>0</v>
      </c>
      <c r="F21" s="8"/>
      <c r="G21" s="11">
        <v>0</v>
      </c>
      <c r="H21" s="8"/>
      <c r="I21" s="11">
        <v>0</v>
      </c>
      <c r="J21" s="12">
        <v>382740.33</v>
      </c>
      <c r="K21" s="12">
        <f t="shared" si="0"/>
        <v>-19833.009999999998</v>
      </c>
    </row>
    <row r="22" spans="1:11" thickBot="1" x14ac:dyDescent="0.3">
      <c r="A22" s="9">
        <v>46321</v>
      </c>
      <c r="B22" s="10">
        <v>833062.77</v>
      </c>
      <c r="C22" s="10">
        <v>-8601.89</v>
      </c>
      <c r="D22" s="10">
        <v>30850.26</v>
      </c>
      <c r="E22" s="11">
        <v>0</v>
      </c>
      <c r="F22" s="8"/>
      <c r="G22" s="11">
        <v>0</v>
      </c>
      <c r="H22" s="8"/>
      <c r="I22" s="11">
        <v>0</v>
      </c>
      <c r="J22" s="12">
        <v>855311.14</v>
      </c>
      <c r="K22" s="12">
        <f t="shared" si="0"/>
        <v>-8601.89</v>
      </c>
    </row>
    <row r="23" spans="1:11" thickBot="1" x14ac:dyDescent="0.3">
      <c r="A23" s="9">
        <v>46322</v>
      </c>
      <c r="B23" s="10">
        <v>403142.18</v>
      </c>
      <c r="C23" s="11">
        <v>-397.64</v>
      </c>
      <c r="D23" s="10">
        <v>15633.35</v>
      </c>
      <c r="E23" s="10">
        <v>-4776.72</v>
      </c>
      <c r="F23" s="8"/>
      <c r="G23" s="11">
        <v>0</v>
      </c>
      <c r="H23" s="8"/>
      <c r="I23" s="11">
        <v>0</v>
      </c>
      <c r="J23" s="12">
        <v>413601.17</v>
      </c>
      <c r="K23" s="12">
        <f t="shared" si="0"/>
        <v>-5174.3600000000006</v>
      </c>
    </row>
    <row r="24" spans="1:11" thickBot="1" x14ac:dyDescent="0.3">
      <c r="A24" s="9">
        <v>46323</v>
      </c>
      <c r="B24" s="10">
        <v>367755.97</v>
      </c>
      <c r="C24" s="10">
        <v>-14081.69</v>
      </c>
      <c r="D24" s="10">
        <v>20991.67</v>
      </c>
      <c r="E24" s="11">
        <v>0</v>
      </c>
      <c r="F24" s="8"/>
      <c r="G24" s="11">
        <v>0</v>
      </c>
      <c r="H24" s="8"/>
      <c r="I24" s="11">
        <v>0</v>
      </c>
      <c r="J24" s="12">
        <v>374665.95</v>
      </c>
      <c r="K24" s="12">
        <f t="shared" si="0"/>
        <v>-14081.69</v>
      </c>
    </row>
    <row r="25" spans="1:11" thickBot="1" x14ac:dyDescent="0.3">
      <c r="A25" s="20">
        <v>46324</v>
      </c>
      <c r="B25" s="21">
        <v>50832.02</v>
      </c>
      <c r="C25" s="21">
        <v>-32762.45</v>
      </c>
      <c r="D25" s="21">
        <v>11640.48</v>
      </c>
      <c r="E25" s="22">
        <v>0</v>
      </c>
      <c r="F25" s="23"/>
      <c r="G25" s="22">
        <v>0</v>
      </c>
      <c r="H25" s="23"/>
      <c r="I25" s="22">
        <v>0</v>
      </c>
      <c r="J25" s="24">
        <v>29710.05</v>
      </c>
      <c r="K25" s="12">
        <f t="shared" si="0"/>
        <v>-32762.45</v>
      </c>
    </row>
    <row r="26" spans="1:11" thickBot="1" x14ac:dyDescent="0.3">
      <c r="A26" s="25" t="s">
        <v>75</v>
      </c>
      <c r="B26" s="26">
        <v>9520948.9700000007</v>
      </c>
      <c r="C26" s="26">
        <v>-366620.93</v>
      </c>
      <c r="D26" s="26">
        <v>672297.52</v>
      </c>
      <c r="E26" s="26">
        <v>-16328.66</v>
      </c>
      <c r="F26" s="27">
        <v>0</v>
      </c>
      <c r="G26" s="27">
        <v>0</v>
      </c>
      <c r="H26" s="27">
        <v>0</v>
      </c>
      <c r="I26" s="27">
        <v>0</v>
      </c>
      <c r="J26" s="26">
        <v>9810296.9000000004</v>
      </c>
      <c r="K26" s="13">
        <f>SUM(K3:K25)</f>
        <v>-382949.59</v>
      </c>
    </row>
  </sheetData>
  <mergeCells count="7">
    <mergeCell ref="A1:A2"/>
    <mergeCell ref="K1:K2"/>
    <mergeCell ref="J1:J2"/>
    <mergeCell ref="D1:E1"/>
    <mergeCell ref="B1:C1"/>
    <mergeCell ref="H1:I1"/>
    <mergeCell ref="F1:G1"/>
  </mergeCells>
  <hyperlinks>
    <hyperlink ref="B3" r:id="rId1" tooltip="por Cliente" display="https://qubex-higimed.integraerp.com.br/ViewCockpit001/Cp01Cli?wFIL_DD=0101&amp;wDT_INI=01%2F10%2F2026&amp;wDT_FIM=01%2F10%2F2026&amp;wACY_DD=%5B%22%2A%2A%2A%2A%2A%2A%22%5D" xr:uid="{687BB916-39E4-451A-9FD6-05CE7101E56A}"/>
    <hyperlink ref="C3" r:id="rId2" tooltip="por Cliente" display="https://qubex-higimed.integraerp.com.br/ViewCockpit001/Cp01Cli?wFIL_DD=0101&amp;wDT_INI=01%2F10%2F2026&amp;wDT_FIM=01%2F10%2F2026&amp;wACY_DD=%5B%22%2A%2A%2A%2A%2A%2A%22%5D" xr:uid="{E5FBD46F-E11A-4D2A-B9FE-F8CBC1E01A94}"/>
    <hyperlink ref="D3" r:id="rId3" tooltip="por Cliente" display="https://qubex-higimed.integraerp.com.br/ViewCockpit001/Cp01Cli?wFIL_DD=0102&amp;wDT_INI=01%2F10%2F2026&amp;wDT_FIM=01%2F10%2F2026&amp;wACY_DD=%5B%22%2A%2A%2A%2A%2A%2A%22%5D" xr:uid="{C706EFF1-19C6-43DB-BF1C-D774D72D3CE5}"/>
    <hyperlink ref="E3" r:id="rId4" tooltip="por Cliente" display="https://qubex-higimed.integraerp.com.br/ViewCockpit001/Cp01Cli?wFIL_DD=0101&amp;wDT_INI=01%2F10%2F2026&amp;wDT_FIM=01%2F10%2F2026&amp;wACY_DD=%5B%22%2A%2A%2A%2A%2A%2A%22%5D" xr:uid="{1315EF9F-1F25-4041-BC16-DE12039BA3CB}"/>
    <hyperlink ref="G3" r:id="rId5" tooltip="por Cliente" display="https://qubex-higimed.integraerp.com.br/ViewCockpit001/Cp01Cli?wFIL_DD=0101&amp;wDT_INI=01%2F10%2F2026&amp;wDT_FIM=01%2F10%2F2026&amp;wACY_DD=%5B%22%2A%2A%2A%2A%2A%2A%22%5D" xr:uid="{A9A8307D-310D-45BF-BF45-B21473727FC3}"/>
    <hyperlink ref="I3" r:id="rId6" tooltip="por Cliente" display="https://qubex-higimed.integraerp.com.br/ViewCockpit001/Cp01Cli?wFIL_DD=0101&amp;wDT_INI=01%2F10%2F2026&amp;wDT_FIM=01%2F10%2F2026&amp;wACY_DD=%5B%22%2A%2A%2A%2A%2A%2A%22%5D" xr:uid="{4C2DAC39-BD81-43B0-8EA7-456B2BB9799B}"/>
    <hyperlink ref="B4" r:id="rId7" tooltip="por Cliente" display="https://qubex-higimed.integraerp.com.br/ViewCockpit001/Cp01Cli?wFIL_DD=0101&amp;wDT_INI=02%2F10%2F2026&amp;wDT_FIM=02%2F10%2F2026&amp;wACY_DD=%5B%22%2A%2A%2A%2A%2A%2A%22%5D" xr:uid="{9DAF6DFA-76E5-4514-A106-958279A2DC2C}"/>
    <hyperlink ref="C4" r:id="rId8" tooltip="por Cliente" display="https://qubex-higimed.integraerp.com.br/ViewCockpit001/Cp01Cli?wFIL_DD=0101&amp;wDT_INI=02%2F10%2F2026&amp;wDT_FIM=02%2F10%2F2026&amp;wACY_DD=%5B%22%2A%2A%2A%2A%2A%2A%22%5D" xr:uid="{097FE572-AFA1-47B0-90CE-FE32B44A7B66}"/>
    <hyperlink ref="D4" r:id="rId9" tooltip="por Cliente" display="https://qubex-higimed.integraerp.com.br/ViewCockpit001/Cp01Cli?wFIL_DD=0102&amp;wDT_INI=02%2F10%2F2026&amp;wDT_FIM=02%2F10%2F2026&amp;wACY_DD=%5B%22%2A%2A%2A%2A%2A%2A%22%5D" xr:uid="{1E17B66C-D739-4BCE-A5F7-04A6F0EE91BD}"/>
    <hyperlink ref="E4" r:id="rId10" tooltip="por Cliente" display="https://qubex-higimed.integraerp.com.br/ViewCockpit001/Cp01Cli?wFIL_DD=0101&amp;wDT_INI=02%2F10%2F2026&amp;wDT_FIM=02%2F10%2F2026&amp;wACY_DD=%5B%22%2A%2A%2A%2A%2A%2A%22%5D" xr:uid="{78ECE9C6-7AC3-45E1-ADED-A8ED3C9BB380}"/>
    <hyperlink ref="G4" r:id="rId11" tooltip="por Cliente" display="https://qubex-higimed.integraerp.com.br/ViewCockpit001/Cp01Cli?wFIL_DD=0101&amp;wDT_INI=02%2F10%2F2026&amp;wDT_FIM=02%2F10%2F2026&amp;wACY_DD=%5B%22%2A%2A%2A%2A%2A%2A%22%5D" xr:uid="{B6C7B5F4-DB18-4CBF-902E-8D08E939B9C0}"/>
    <hyperlink ref="I4" r:id="rId12" tooltip="por Cliente" display="https://qubex-higimed.integraerp.com.br/ViewCockpit001/Cp01Cli?wFIL_DD=0101&amp;wDT_INI=02%2F10%2F2026&amp;wDT_FIM=02%2F10%2F2026&amp;wACY_DD=%5B%22%2A%2A%2A%2A%2A%2A%22%5D" xr:uid="{070523A6-7BBA-45A0-91A1-DD10E096AC83}"/>
    <hyperlink ref="B5" r:id="rId13" tooltip="por Cliente" display="https://qubex-higimed.integraerp.com.br/ViewCockpit001/Cp01Cli?wFIL_DD=0101&amp;wDT_INI=05%2F10%2F2026&amp;wDT_FIM=05%2F10%2F2026&amp;wACY_DD=%5B%22%2A%2A%2A%2A%2A%2A%22%5D" xr:uid="{A6FE5CE1-9AFF-43A0-A2F7-A5FA64AE1C82}"/>
    <hyperlink ref="C5" r:id="rId14" tooltip="por Cliente" display="https://qubex-higimed.integraerp.com.br/ViewCockpit001/Cp01Cli?wFIL_DD=0101&amp;wDT_INI=05%2F10%2F2026&amp;wDT_FIM=05%2F10%2F2026&amp;wACY_DD=%5B%22%2A%2A%2A%2A%2A%2A%22%5D" xr:uid="{5F06682F-785F-48AF-A556-9CB62F556813}"/>
    <hyperlink ref="D5" r:id="rId15" tooltip="por Cliente" display="https://qubex-higimed.integraerp.com.br/ViewCockpit001/Cp01Cli?wFIL_DD=0102&amp;wDT_INI=05%2F10%2F2026&amp;wDT_FIM=05%2F10%2F2026&amp;wACY_DD=%5B%22%2A%2A%2A%2A%2A%2A%22%5D" xr:uid="{99AECBC6-376B-463D-ABB3-613E6F334936}"/>
    <hyperlink ref="E5" r:id="rId16" tooltip="por Cliente" display="https://qubex-higimed.integraerp.com.br/ViewCockpit001/Cp01Cli?wFIL_DD=0101&amp;wDT_INI=05%2F10%2F2026&amp;wDT_FIM=05%2F10%2F2026&amp;wACY_DD=%5B%22%2A%2A%2A%2A%2A%2A%22%5D" xr:uid="{27865420-50C6-4B05-A8F7-78B1FC151DB8}"/>
    <hyperlink ref="G5" r:id="rId17" tooltip="por Cliente" display="https://qubex-higimed.integraerp.com.br/ViewCockpit001/Cp01Cli?wFIL_DD=0101&amp;wDT_INI=05%2F10%2F2026&amp;wDT_FIM=05%2F10%2F2026&amp;wACY_DD=%5B%22%2A%2A%2A%2A%2A%2A%22%5D" xr:uid="{3C074977-FBF5-40B5-995F-3B3FBDF4D757}"/>
    <hyperlink ref="I5" r:id="rId18" tooltip="por Cliente" display="https://qubex-higimed.integraerp.com.br/ViewCockpit001/Cp01Cli?wFIL_DD=0101&amp;wDT_INI=05%2F10%2F2026&amp;wDT_FIM=05%2F10%2F2026&amp;wACY_DD=%5B%22%2A%2A%2A%2A%2A%2A%22%5D" xr:uid="{942165DF-39D9-4890-BC49-3DC9CF408E78}"/>
    <hyperlink ref="B6" r:id="rId19" tooltip="por Cliente" display="https://qubex-higimed.integraerp.com.br/ViewCockpit001/Cp01Cli?wFIL_DD=0101&amp;wDT_INI=06%2F10%2F2026&amp;wDT_FIM=06%2F10%2F2026&amp;wACY_DD=%5B%22%2A%2A%2A%2A%2A%2A%22%5D" xr:uid="{BCC79D74-CE54-4820-A276-F1F847F0E585}"/>
    <hyperlink ref="C6" r:id="rId20" tooltip="por Cliente" display="https://qubex-higimed.integraerp.com.br/ViewCockpit001/Cp01Cli?wFIL_DD=0101&amp;wDT_INI=06%2F10%2F2026&amp;wDT_FIM=06%2F10%2F2026&amp;wACY_DD=%5B%22%2A%2A%2A%2A%2A%2A%22%5D" xr:uid="{F7217115-1ED7-4776-838B-2EBAC408CA87}"/>
    <hyperlink ref="D6" r:id="rId21" tooltip="por Cliente" display="https://qubex-higimed.integraerp.com.br/ViewCockpit001/Cp01Cli?wFIL_DD=0102&amp;wDT_INI=06%2F10%2F2026&amp;wDT_FIM=06%2F10%2F2026&amp;wACY_DD=%5B%22%2A%2A%2A%2A%2A%2A%22%5D" xr:uid="{0C834F42-8441-4D44-A5F6-2E057DAA850C}"/>
    <hyperlink ref="E6" r:id="rId22" tooltip="por Cliente" display="https://qubex-higimed.integraerp.com.br/ViewCockpit001/Cp01Cli?wFIL_DD=0101&amp;wDT_INI=06%2F10%2F2026&amp;wDT_FIM=06%2F10%2F2026&amp;wACY_DD=%5B%22%2A%2A%2A%2A%2A%2A%22%5D" xr:uid="{82310EFD-5CCC-411D-AAD6-3D10203E31AE}"/>
    <hyperlink ref="G6" r:id="rId23" tooltip="por Cliente" display="https://qubex-higimed.integraerp.com.br/ViewCockpit001/Cp01Cli?wFIL_DD=0101&amp;wDT_INI=06%2F10%2F2026&amp;wDT_FIM=06%2F10%2F2026&amp;wACY_DD=%5B%22%2A%2A%2A%2A%2A%2A%22%5D" xr:uid="{0FBB09BD-6B32-40FA-9B50-16465E596A73}"/>
    <hyperlink ref="I6" r:id="rId24" tooltip="por Cliente" display="https://qubex-higimed.integraerp.com.br/ViewCockpit001/Cp01Cli?wFIL_DD=0101&amp;wDT_INI=06%2F10%2F2026&amp;wDT_FIM=06%2F10%2F2026&amp;wACY_DD=%5B%22%2A%2A%2A%2A%2A%2A%22%5D" xr:uid="{C015B2D3-473D-4B27-AA32-C1EB96A98E2F}"/>
    <hyperlink ref="B7" r:id="rId25" tooltip="por Cliente" display="https://qubex-higimed.integraerp.com.br/ViewCockpit001/Cp01Cli?wFIL_DD=0101&amp;wDT_INI=07%2F10%2F2026&amp;wDT_FIM=07%2F10%2F2026&amp;wACY_DD=%5B%22%2A%2A%2A%2A%2A%2A%22%5D" xr:uid="{D8B51840-FE95-4575-9F58-A14A89D1CC89}"/>
    <hyperlink ref="C7" r:id="rId26" tooltip="por Cliente" display="https://qubex-higimed.integraerp.com.br/ViewCockpit001/Cp01Cli?wFIL_DD=0101&amp;wDT_INI=07%2F10%2F2026&amp;wDT_FIM=07%2F10%2F2026&amp;wACY_DD=%5B%22%2A%2A%2A%2A%2A%2A%22%5D" xr:uid="{913B7A06-A561-49D9-9054-6988583CE0CF}"/>
    <hyperlink ref="D7" r:id="rId27" tooltip="por Cliente" display="https://qubex-higimed.integraerp.com.br/ViewCockpit001/Cp01Cli?wFIL_DD=0102&amp;wDT_INI=07%2F10%2F2026&amp;wDT_FIM=07%2F10%2F2026&amp;wACY_DD=%5B%22%2A%2A%2A%2A%2A%2A%22%5D" xr:uid="{5928DE69-8B49-4938-8BC0-2591C24A59DA}"/>
    <hyperlink ref="E7" r:id="rId28" tooltip="por Cliente" display="https://qubex-higimed.integraerp.com.br/ViewCockpit001/Cp01Cli?wFIL_DD=0101&amp;wDT_INI=07%2F10%2F2026&amp;wDT_FIM=07%2F10%2F2026&amp;wACY_DD=%5B%22%2A%2A%2A%2A%2A%2A%22%5D" xr:uid="{6A64E255-EAEC-4015-92E3-718673D24F41}"/>
    <hyperlink ref="G7" r:id="rId29" tooltip="por Cliente" display="https://qubex-higimed.integraerp.com.br/ViewCockpit001/Cp01Cli?wFIL_DD=0101&amp;wDT_INI=07%2F10%2F2026&amp;wDT_FIM=07%2F10%2F2026&amp;wACY_DD=%5B%22%2A%2A%2A%2A%2A%2A%22%5D" xr:uid="{171A8010-629F-4FCF-A267-F8977772A919}"/>
    <hyperlink ref="I7" r:id="rId30" tooltip="por Cliente" display="https://qubex-higimed.integraerp.com.br/ViewCockpit001/Cp01Cli?wFIL_DD=0101&amp;wDT_INI=07%2F10%2F2026&amp;wDT_FIM=07%2F10%2F2026&amp;wACY_DD=%5B%22%2A%2A%2A%2A%2A%2A%22%5D" xr:uid="{84D00DCA-8910-488F-A8BE-CF00F1AA773D}"/>
    <hyperlink ref="B8" r:id="rId31" tooltip="por Cliente" display="https://qubex-higimed.integraerp.com.br/ViewCockpit001/Cp01Cli?wFIL_DD=0101&amp;wDT_INI=08%2F10%2F2026&amp;wDT_FIM=08%2F10%2F2026&amp;wACY_DD=%5B%22%2A%2A%2A%2A%2A%2A%22%5D" xr:uid="{8A4AF581-4EA9-4887-9BA9-7B71127B5BEE}"/>
    <hyperlink ref="C8" r:id="rId32" tooltip="por Cliente" display="https://qubex-higimed.integraerp.com.br/ViewCockpit001/Cp01Cli?wFIL_DD=0101&amp;wDT_INI=08%2F10%2F2026&amp;wDT_FIM=08%2F10%2F2026&amp;wACY_DD=%5B%22%2A%2A%2A%2A%2A%2A%22%5D" xr:uid="{FA63E263-C6EB-47FB-BB42-744574F43B36}"/>
    <hyperlink ref="D8" r:id="rId33" tooltip="por Cliente" display="https://qubex-higimed.integraerp.com.br/ViewCockpit001/Cp01Cli?wFIL_DD=0102&amp;wDT_INI=08%2F10%2F2026&amp;wDT_FIM=08%2F10%2F2026&amp;wACY_DD=%5B%22%2A%2A%2A%2A%2A%2A%22%5D" xr:uid="{46A855A0-B703-4A32-855A-133544FFA78E}"/>
    <hyperlink ref="E8" r:id="rId34" tooltip="por Cliente" display="https://qubex-higimed.integraerp.com.br/ViewCockpit001/Cp01Cli?wFIL_DD=0101&amp;wDT_INI=08%2F10%2F2026&amp;wDT_FIM=08%2F10%2F2026&amp;wACY_DD=%5B%22%2A%2A%2A%2A%2A%2A%22%5D" xr:uid="{81269BBD-6466-47BA-8954-B99AB7E547FD}"/>
    <hyperlink ref="G8" r:id="rId35" tooltip="por Cliente" display="https://qubex-higimed.integraerp.com.br/ViewCockpit001/Cp01Cli?wFIL_DD=0101&amp;wDT_INI=08%2F10%2F2026&amp;wDT_FIM=08%2F10%2F2026&amp;wACY_DD=%5B%22%2A%2A%2A%2A%2A%2A%22%5D" xr:uid="{8D159887-6B6B-4CF0-B136-959762FC53E5}"/>
    <hyperlink ref="I8" r:id="rId36" tooltip="por Cliente" display="https://qubex-higimed.integraerp.com.br/ViewCockpit001/Cp01Cli?wFIL_DD=0101&amp;wDT_INI=08%2F10%2F2026&amp;wDT_FIM=08%2F10%2F2026&amp;wACY_DD=%5B%22%2A%2A%2A%2A%2A%2A%22%5D" xr:uid="{AC9BAAD9-DB01-4874-A326-3ECFFE2AB771}"/>
    <hyperlink ref="B9" r:id="rId37" tooltip="por Cliente" display="https://qubex-higimed.integraerp.com.br/ViewCockpit001/Cp01Cli?wFIL_DD=0101&amp;wDT_INI=09%2F10%2F2026&amp;wDT_FIM=09%2F10%2F2026&amp;wACY_DD=%5B%22%2A%2A%2A%2A%2A%2A%22%5D" xr:uid="{ADECEC3D-1503-432D-9CE7-1D303F2EDA65}"/>
    <hyperlink ref="C9" r:id="rId38" tooltip="por Cliente" display="https://qubex-higimed.integraerp.com.br/ViewCockpit001/Cp01Cli?wFIL_DD=0101&amp;wDT_INI=09%2F10%2F2026&amp;wDT_FIM=09%2F10%2F2026&amp;wACY_DD=%5B%22%2A%2A%2A%2A%2A%2A%22%5D" xr:uid="{3DDFFF8C-7C65-4049-8FB5-880E5FAD2015}"/>
    <hyperlink ref="D9" r:id="rId39" tooltip="por Cliente" display="https://qubex-higimed.integraerp.com.br/ViewCockpit001/Cp01Cli?wFIL_DD=0102&amp;wDT_INI=09%2F10%2F2026&amp;wDT_FIM=09%2F10%2F2026&amp;wACY_DD=%5B%22%2A%2A%2A%2A%2A%2A%22%5D" xr:uid="{B6B2BAD8-9818-4A17-B2AF-5EB790564079}"/>
    <hyperlink ref="E9" r:id="rId40" tooltip="por Cliente" display="https://qubex-higimed.integraerp.com.br/ViewCockpit001/Cp01Cli?wFIL_DD=0101&amp;wDT_INI=09%2F10%2F2026&amp;wDT_FIM=09%2F10%2F2026&amp;wACY_DD=%5B%22%2A%2A%2A%2A%2A%2A%22%5D" xr:uid="{C3B9EC01-61F5-4418-9557-82EDCF8B1547}"/>
    <hyperlink ref="G9" r:id="rId41" tooltip="por Cliente" display="https://qubex-higimed.integraerp.com.br/ViewCockpit001/Cp01Cli?wFIL_DD=0101&amp;wDT_INI=09%2F10%2F2026&amp;wDT_FIM=09%2F10%2F2026&amp;wACY_DD=%5B%22%2A%2A%2A%2A%2A%2A%22%5D" xr:uid="{910F2F42-170A-4154-95A4-D576BF7E7119}"/>
    <hyperlink ref="I9" r:id="rId42" tooltip="por Cliente" display="https://qubex-higimed.integraerp.com.br/ViewCockpit001/Cp01Cli?wFIL_DD=0101&amp;wDT_INI=09%2F10%2F2026&amp;wDT_FIM=09%2F10%2F2026&amp;wACY_DD=%5B%22%2A%2A%2A%2A%2A%2A%22%5D" xr:uid="{73B71715-8B25-4802-A48B-206FEAB99577}"/>
    <hyperlink ref="B10" r:id="rId43" tooltip="por Cliente" display="https://qubex-higimed.integraerp.com.br/ViewCockpit001/Cp01Cli?wFIL_DD=0101&amp;wDT_INI=10%2F10%2F2026&amp;wDT_FIM=10%2F10%2F2026&amp;wACY_DD=%5B%22%2A%2A%2A%2A%2A%2A%22%5D" xr:uid="{1FFD6E12-D3BE-4FA7-A788-72E75A84EE48}"/>
    <hyperlink ref="C10" r:id="rId44" tooltip="por Cliente" display="https://qubex-higimed.integraerp.com.br/ViewCockpit001/Cp01Cli?wFIL_DD=0101&amp;wDT_INI=10%2F10%2F2026&amp;wDT_FIM=10%2F10%2F2026&amp;wACY_DD=%5B%22%2A%2A%2A%2A%2A%2A%22%5D" xr:uid="{60F13880-8519-4548-9073-F64C0E729464}"/>
    <hyperlink ref="E10" r:id="rId45" tooltip="por Cliente" display="https://qubex-higimed.integraerp.com.br/ViewCockpit001/Cp01Cli?wFIL_DD=0101&amp;wDT_INI=10%2F10%2F2026&amp;wDT_FIM=10%2F10%2F2026&amp;wACY_DD=%5B%22%2A%2A%2A%2A%2A%2A%22%5D" xr:uid="{F2031124-7203-4B15-9E34-960BD3FC4AB9}"/>
    <hyperlink ref="G10" r:id="rId46" tooltip="por Cliente" display="https://qubex-higimed.integraerp.com.br/ViewCockpit001/Cp01Cli?wFIL_DD=0101&amp;wDT_INI=10%2F10%2F2026&amp;wDT_FIM=10%2F10%2F2026&amp;wACY_DD=%5B%22%2A%2A%2A%2A%2A%2A%22%5D" xr:uid="{39CCCDF7-0082-4581-9A5C-D7A3626EF94A}"/>
    <hyperlink ref="I10" r:id="rId47" tooltip="por Cliente" display="https://qubex-higimed.integraerp.com.br/ViewCockpit001/Cp01Cli?wFIL_DD=0101&amp;wDT_INI=10%2F10%2F2026&amp;wDT_FIM=10%2F10%2F2026&amp;wACY_DD=%5B%22%2A%2A%2A%2A%2A%2A%22%5D" xr:uid="{0389E5D8-2ECA-4149-A985-3C38E758D9A5}"/>
    <hyperlink ref="B11" r:id="rId48" tooltip="por Cliente" display="https://qubex-higimed.integraerp.com.br/ViewCockpit001/Cp01Cli?wFIL_DD=0101&amp;wDT_INI=11%2F10%2F2026&amp;wDT_FIM=11%2F10%2F2026&amp;wACY_DD=%5B%22%2A%2A%2A%2A%2A%2A%22%5D" xr:uid="{30B1B3A3-0004-4192-B744-3D6C29732962}"/>
    <hyperlink ref="C11" r:id="rId49" tooltip="por Cliente" display="https://qubex-higimed.integraerp.com.br/ViewCockpit001/Cp01Cli?wFIL_DD=0101&amp;wDT_INI=11%2F10%2F2026&amp;wDT_FIM=11%2F10%2F2026&amp;wACY_DD=%5B%22%2A%2A%2A%2A%2A%2A%22%5D" xr:uid="{8DD9D58B-DC7C-4DDE-B29B-1A191FCC27EC}"/>
    <hyperlink ref="E11" r:id="rId50" tooltip="por Cliente" display="https://qubex-higimed.integraerp.com.br/ViewCockpit001/Cp01Cli?wFIL_DD=0101&amp;wDT_INI=11%2F10%2F2026&amp;wDT_FIM=11%2F10%2F2026&amp;wACY_DD=%5B%22%2A%2A%2A%2A%2A%2A%22%5D" xr:uid="{6DD58EF5-84D0-43E6-8308-38241B6F33A6}"/>
    <hyperlink ref="G11" r:id="rId51" tooltip="por Cliente" display="https://qubex-higimed.integraerp.com.br/ViewCockpit001/Cp01Cli?wFIL_DD=0101&amp;wDT_INI=11%2F10%2F2026&amp;wDT_FIM=11%2F10%2F2026&amp;wACY_DD=%5B%22%2A%2A%2A%2A%2A%2A%22%5D" xr:uid="{8FDEFA51-3826-4AC9-B413-AB809828CC27}"/>
    <hyperlink ref="I11" r:id="rId52" tooltip="por Cliente" display="https://qubex-higimed.integraerp.com.br/ViewCockpit001/Cp01Cli?wFIL_DD=0101&amp;wDT_INI=11%2F10%2F2026&amp;wDT_FIM=11%2F10%2F2026&amp;wACY_DD=%5B%22%2A%2A%2A%2A%2A%2A%22%5D" xr:uid="{29EAB79F-E12E-4CA1-B0A4-5371C4363F2E}"/>
    <hyperlink ref="B12" r:id="rId53" tooltip="por Cliente" display="https://qubex-higimed.integraerp.com.br/ViewCockpit001/Cp01Cli?wFIL_DD=0101&amp;wDT_INI=12%2F10%2F2026&amp;wDT_FIM=12%2F10%2F2026&amp;wACY_DD=%5B%22%2A%2A%2A%2A%2A%2A%22%5D" xr:uid="{CED61254-7A53-4676-8894-8527F0937B26}"/>
    <hyperlink ref="C12" r:id="rId54" tooltip="por Cliente" display="https://qubex-higimed.integraerp.com.br/ViewCockpit001/Cp01Cli?wFIL_DD=0101&amp;wDT_INI=12%2F10%2F2026&amp;wDT_FIM=12%2F10%2F2026&amp;wACY_DD=%5B%22%2A%2A%2A%2A%2A%2A%22%5D" xr:uid="{FB0C6349-F7A9-44BE-8D7C-BC51053FCFA0}"/>
    <hyperlink ref="E12" r:id="rId55" tooltip="por Cliente" display="https://qubex-higimed.integraerp.com.br/ViewCockpit001/Cp01Cli?wFIL_DD=0101&amp;wDT_INI=12%2F10%2F2026&amp;wDT_FIM=12%2F10%2F2026&amp;wACY_DD=%5B%22%2A%2A%2A%2A%2A%2A%22%5D" xr:uid="{001031EB-4A3F-486C-B2E9-E90310B771B2}"/>
    <hyperlink ref="G12" r:id="rId56" tooltip="por Cliente" display="https://qubex-higimed.integraerp.com.br/ViewCockpit001/Cp01Cli?wFIL_DD=0101&amp;wDT_INI=12%2F10%2F2026&amp;wDT_FIM=12%2F10%2F2026&amp;wACY_DD=%5B%22%2A%2A%2A%2A%2A%2A%22%5D" xr:uid="{329980CD-A0C3-49B7-8A0F-151CBF8D346F}"/>
    <hyperlink ref="I12" r:id="rId57" tooltip="por Cliente" display="https://qubex-higimed.integraerp.com.br/ViewCockpit001/Cp01Cli?wFIL_DD=0101&amp;wDT_INI=12%2F10%2F2026&amp;wDT_FIM=12%2F10%2F2026&amp;wACY_DD=%5B%22%2A%2A%2A%2A%2A%2A%22%5D" xr:uid="{BA8C7164-B9AC-453C-AC13-390EF76C3CAA}"/>
    <hyperlink ref="B13" r:id="rId58" tooltip="por Cliente" display="https://qubex-higimed.integraerp.com.br/ViewCockpit001/Cp01Cli?wFIL_DD=0101&amp;wDT_INI=13%2F10%2F2026&amp;wDT_FIM=13%2F10%2F2026&amp;wACY_DD=%5B%22%2A%2A%2A%2A%2A%2A%22%5D" xr:uid="{04B51785-D512-4943-AE8C-0D8BE107D63D}"/>
    <hyperlink ref="C13" r:id="rId59" tooltip="por Cliente" display="https://qubex-higimed.integraerp.com.br/ViewCockpit001/Cp01Cli?wFIL_DD=0101&amp;wDT_INI=13%2F10%2F2026&amp;wDT_FIM=13%2F10%2F2026&amp;wACY_DD=%5B%22%2A%2A%2A%2A%2A%2A%22%5D" xr:uid="{FD9277CC-07A3-444D-AA93-AE4686F3DDD2}"/>
    <hyperlink ref="D13" r:id="rId60" tooltip="por Cliente" display="https://qubex-higimed.integraerp.com.br/ViewCockpit001/Cp01Cli?wFIL_DD=0102&amp;wDT_INI=13%2F10%2F2026&amp;wDT_FIM=13%2F10%2F2026&amp;wACY_DD=%5B%22%2A%2A%2A%2A%2A%2A%22%5D" xr:uid="{82C93853-7B6E-4349-BEF6-D6743752A55B}"/>
    <hyperlink ref="E13" r:id="rId61" tooltip="por Cliente" display="https://qubex-higimed.integraerp.com.br/ViewCockpit001/Cp01Cli?wFIL_DD=0101&amp;wDT_INI=13%2F10%2F2026&amp;wDT_FIM=13%2F10%2F2026&amp;wACY_DD=%5B%22%2A%2A%2A%2A%2A%2A%22%5D" xr:uid="{BE630531-0E43-4541-9855-02D96EA186CF}"/>
    <hyperlink ref="G13" r:id="rId62" tooltip="por Cliente" display="https://qubex-higimed.integraerp.com.br/ViewCockpit001/Cp01Cli?wFIL_DD=0101&amp;wDT_INI=13%2F10%2F2026&amp;wDT_FIM=13%2F10%2F2026&amp;wACY_DD=%5B%22%2A%2A%2A%2A%2A%2A%22%5D" xr:uid="{780AD855-20EC-46E0-8309-4927B05D52C0}"/>
    <hyperlink ref="I13" r:id="rId63" tooltip="por Cliente" display="https://qubex-higimed.integraerp.com.br/ViewCockpit001/Cp01Cli?wFIL_DD=0101&amp;wDT_INI=13%2F10%2F2026&amp;wDT_FIM=13%2F10%2F2026&amp;wACY_DD=%5B%22%2A%2A%2A%2A%2A%2A%22%5D" xr:uid="{0F397AE1-7108-4873-98AA-42DF29077EBA}"/>
    <hyperlink ref="B14" r:id="rId64" tooltip="por Cliente" display="https://qubex-higimed.integraerp.com.br/ViewCockpit001/Cp01Cli?wFIL_DD=0101&amp;wDT_INI=14%2F10%2F2026&amp;wDT_FIM=14%2F10%2F2026&amp;wACY_DD=%5B%22%2A%2A%2A%2A%2A%2A%22%5D" xr:uid="{69984AF0-BFBD-4576-AAB7-E720EB47AA23}"/>
    <hyperlink ref="C14" r:id="rId65" tooltip="por Cliente" display="https://qubex-higimed.integraerp.com.br/ViewCockpit001/Cp01Cli?wFIL_DD=0101&amp;wDT_INI=14%2F10%2F2026&amp;wDT_FIM=14%2F10%2F2026&amp;wACY_DD=%5B%22%2A%2A%2A%2A%2A%2A%22%5D" xr:uid="{E741674C-9639-4284-85DA-2758B4B98186}"/>
    <hyperlink ref="D14" r:id="rId66" tooltip="por Cliente" display="https://qubex-higimed.integraerp.com.br/ViewCockpit001/Cp01Cli?wFIL_DD=0102&amp;wDT_INI=14%2F10%2F2026&amp;wDT_FIM=14%2F10%2F2026&amp;wACY_DD=%5B%22%2A%2A%2A%2A%2A%2A%22%5D" xr:uid="{0EAB373F-90CB-4781-881A-18B44C5C67CE}"/>
    <hyperlink ref="E14" r:id="rId67" tooltip="por Cliente" display="https://qubex-higimed.integraerp.com.br/ViewCockpit001/Cp01Cli?wFIL_DD=0101&amp;wDT_INI=14%2F10%2F2026&amp;wDT_FIM=14%2F10%2F2026&amp;wACY_DD=%5B%22%2A%2A%2A%2A%2A%2A%22%5D" xr:uid="{C9950F5F-F47E-4017-BD4C-CB6C5E1AD4EA}"/>
    <hyperlink ref="G14" r:id="rId68" tooltip="por Cliente" display="https://qubex-higimed.integraerp.com.br/ViewCockpit001/Cp01Cli?wFIL_DD=0101&amp;wDT_INI=14%2F10%2F2026&amp;wDT_FIM=14%2F10%2F2026&amp;wACY_DD=%5B%22%2A%2A%2A%2A%2A%2A%22%5D" xr:uid="{9ED67B91-146B-4BA0-89AF-12E3B525B057}"/>
    <hyperlink ref="I14" r:id="rId69" tooltip="por Cliente" display="https://qubex-higimed.integraerp.com.br/ViewCockpit001/Cp01Cli?wFIL_DD=0101&amp;wDT_INI=14%2F10%2F2026&amp;wDT_FIM=14%2F10%2F2026&amp;wACY_DD=%5B%22%2A%2A%2A%2A%2A%2A%22%5D" xr:uid="{75091688-CCD1-4148-8302-C16C62A3ECEB}"/>
    <hyperlink ref="B15" r:id="rId70" tooltip="por Cliente" display="https://qubex-higimed.integraerp.com.br/ViewCockpit001/Cp01Cli?wFIL_DD=0101&amp;wDT_INI=15%2F10%2F2026&amp;wDT_FIM=15%2F10%2F2026&amp;wACY_DD=%5B%22%2A%2A%2A%2A%2A%2A%22%5D" xr:uid="{51AB3956-06F7-42FF-92F7-87725F4628B9}"/>
    <hyperlink ref="C15" r:id="rId71" tooltip="por Cliente" display="https://qubex-higimed.integraerp.com.br/ViewCockpit001/Cp01Cli?wFIL_DD=0101&amp;wDT_INI=15%2F10%2F2026&amp;wDT_FIM=15%2F10%2F2026&amp;wACY_DD=%5B%22%2A%2A%2A%2A%2A%2A%22%5D" xr:uid="{D01B4EA1-DE0E-4C8E-9A83-0611A7BC37EE}"/>
    <hyperlink ref="D15" r:id="rId72" tooltip="por Cliente" display="https://qubex-higimed.integraerp.com.br/ViewCockpit001/Cp01Cli?wFIL_DD=0102&amp;wDT_INI=15%2F10%2F2026&amp;wDT_FIM=15%2F10%2F2026&amp;wACY_DD=%5B%22%2A%2A%2A%2A%2A%2A%22%5D" xr:uid="{A9DE5639-D4AC-4A1B-B83A-DEFF954978CA}"/>
    <hyperlink ref="E15" r:id="rId73" tooltip="por Cliente" display="https://qubex-higimed.integraerp.com.br/ViewCockpit001/Cp01Cli?wFIL_DD=0101&amp;wDT_INI=15%2F10%2F2026&amp;wDT_FIM=15%2F10%2F2026&amp;wACY_DD=%5B%22%2A%2A%2A%2A%2A%2A%22%5D" xr:uid="{5BBB9CFD-24F5-4F9B-8C3B-D385341FB79F}"/>
    <hyperlink ref="G15" r:id="rId74" tooltip="por Cliente" display="https://qubex-higimed.integraerp.com.br/ViewCockpit001/Cp01Cli?wFIL_DD=0101&amp;wDT_INI=15%2F10%2F2026&amp;wDT_FIM=15%2F10%2F2026&amp;wACY_DD=%5B%22%2A%2A%2A%2A%2A%2A%22%5D" xr:uid="{E633D1D4-CA93-4115-B984-F66B88BF3416}"/>
    <hyperlink ref="I15" r:id="rId75" tooltip="por Cliente" display="https://qubex-higimed.integraerp.com.br/ViewCockpit001/Cp01Cli?wFIL_DD=0101&amp;wDT_INI=15%2F10%2F2026&amp;wDT_FIM=15%2F10%2F2026&amp;wACY_DD=%5B%22%2A%2A%2A%2A%2A%2A%22%5D" xr:uid="{13357E6C-BB30-484B-8400-F91EE2A7D07E}"/>
    <hyperlink ref="B16" r:id="rId76" tooltip="por Cliente" display="https://qubex-higimed.integraerp.com.br/ViewCockpit001/Cp01Cli?wFIL_DD=0101&amp;wDT_INI=16%2F10%2F2026&amp;wDT_FIM=16%2F10%2F2026&amp;wACY_DD=%5B%22%2A%2A%2A%2A%2A%2A%22%5D" xr:uid="{057E90F7-6A40-4EDE-9A3E-F30A859CF3BE}"/>
    <hyperlink ref="C16" r:id="rId77" tooltip="por Cliente" display="https://qubex-higimed.integraerp.com.br/ViewCockpit001/Cp01Cli?wFIL_DD=0101&amp;wDT_INI=16%2F10%2F2026&amp;wDT_FIM=16%2F10%2F2026&amp;wACY_DD=%5B%22%2A%2A%2A%2A%2A%2A%22%5D" xr:uid="{F7DB2805-0CDB-484E-B723-B80837A45A7C}"/>
    <hyperlink ref="D16" r:id="rId78" tooltip="por Cliente" display="https://qubex-higimed.integraerp.com.br/ViewCockpit001/Cp01Cli?wFIL_DD=0102&amp;wDT_INI=16%2F10%2F2026&amp;wDT_FIM=16%2F10%2F2026&amp;wACY_DD=%5B%22%2A%2A%2A%2A%2A%2A%22%5D" xr:uid="{47E74C81-3114-45F2-986C-956A43348F2B}"/>
    <hyperlink ref="E16" r:id="rId79" tooltip="por Cliente" display="https://qubex-higimed.integraerp.com.br/ViewCockpit001/Cp01Cli?wFIL_DD=0101&amp;wDT_INI=16%2F10%2F2026&amp;wDT_FIM=16%2F10%2F2026&amp;wACY_DD=%5B%22%2A%2A%2A%2A%2A%2A%22%5D" xr:uid="{55782F92-7117-4BA1-BB3C-7206EDDCE433}"/>
    <hyperlink ref="G16" r:id="rId80" tooltip="por Cliente" display="https://qubex-higimed.integraerp.com.br/ViewCockpit001/Cp01Cli?wFIL_DD=0101&amp;wDT_INI=16%2F10%2F2026&amp;wDT_FIM=16%2F10%2F2026&amp;wACY_DD=%5B%22%2A%2A%2A%2A%2A%2A%22%5D" xr:uid="{A2A6CF9B-8818-4C36-9182-BB4C1CD6E24D}"/>
    <hyperlink ref="I16" r:id="rId81" tooltip="por Cliente" display="https://qubex-higimed.integraerp.com.br/ViewCockpit001/Cp01Cli?wFIL_DD=0101&amp;wDT_INI=16%2F10%2F2026&amp;wDT_FIM=16%2F10%2F2026&amp;wACY_DD=%5B%22%2A%2A%2A%2A%2A%2A%22%5D" xr:uid="{4A7E4F9B-D384-4C96-9E21-EF9427F927A0}"/>
    <hyperlink ref="B17" r:id="rId82" tooltip="por Cliente" display="https://qubex-higimed.integraerp.com.br/ViewCockpit001/Cp01Cli?wFIL_DD=0101&amp;wDT_INI=19%2F10%2F2026&amp;wDT_FIM=19%2F10%2F2026&amp;wACY_DD=%5B%22%2A%2A%2A%2A%2A%2A%22%5D" xr:uid="{93C9F410-EA82-4975-A9CA-E8E7C9E6E495}"/>
    <hyperlink ref="C17" r:id="rId83" tooltip="por Cliente" display="https://qubex-higimed.integraerp.com.br/ViewCockpit001/Cp01Cli?wFIL_DD=0101&amp;wDT_INI=19%2F10%2F2026&amp;wDT_FIM=19%2F10%2F2026&amp;wACY_DD=%5B%22%2A%2A%2A%2A%2A%2A%22%5D" xr:uid="{A261D0F3-D257-498A-916F-FC902A0B02BA}"/>
    <hyperlink ref="E17" r:id="rId84" tooltip="por Cliente" display="https://qubex-higimed.integraerp.com.br/ViewCockpit001/Cp01Cli?wFIL_DD=0101&amp;wDT_INI=19%2F10%2F2026&amp;wDT_FIM=19%2F10%2F2026&amp;wACY_DD=%5B%22%2A%2A%2A%2A%2A%2A%22%5D" xr:uid="{6F6EF0DF-0CDA-4824-B98D-C894AFE2F645}"/>
    <hyperlink ref="G17" r:id="rId85" tooltip="por Cliente" display="https://qubex-higimed.integraerp.com.br/ViewCockpit001/Cp01Cli?wFIL_DD=0101&amp;wDT_INI=19%2F10%2F2026&amp;wDT_FIM=19%2F10%2F2026&amp;wACY_DD=%5B%22%2A%2A%2A%2A%2A%2A%22%5D" xr:uid="{A64E6B0D-5609-420E-A0F9-2CD8282DF21E}"/>
    <hyperlink ref="I17" r:id="rId86" tooltip="por Cliente" display="https://qubex-higimed.integraerp.com.br/ViewCockpit001/Cp01Cli?wFIL_DD=0101&amp;wDT_INI=19%2F10%2F2026&amp;wDT_FIM=19%2F10%2F2026&amp;wACY_DD=%5B%22%2A%2A%2A%2A%2A%2A%22%5D" xr:uid="{F1155477-B7F0-421A-9F9F-26636A548949}"/>
    <hyperlink ref="B18" r:id="rId87" tooltip="por Cliente" display="https://qubex-higimed.integraerp.com.br/ViewCockpit001/Cp01Cli?wFIL_DD=0101&amp;wDT_INI=20%2F10%2F2026&amp;wDT_FIM=20%2F10%2F2026&amp;wACY_DD=%5B%22%2A%2A%2A%2A%2A%2A%22%5D" xr:uid="{63B925F4-B927-4D4B-AF30-932AEBEE9398}"/>
    <hyperlink ref="C18" r:id="rId88" tooltip="por Cliente" display="https://qubex-higimed.integraerp.com.br/ViewCockpit001/Cp01Cli?wFIL_DD=0101&amp;wDT_INI=20%2F10%2F2026&amp;wDT_FIM=20%2F10%2F2026&amp;wACY_DD=%5B%22%2A%2A%2A%2A%2A%2A%22%5D" xr:uid="{13B50C12-A016-4095-80AB-9C31F37F9631}"/>
    <hyperlink ref="D18" r:id="rId89" tooltip="por Cliente" display="https://qubex-higimed.integraerp.com.br/ViewCockpit001/Cp01Cli?wFIL_DD=0102&amp;wDT_INI=20%2F10%2F2026&amp;wDT_FIM=20%2F10%2F2026&amp;wACY_DD=%5B%22%2A%2A%2A%2A%2A%2A%22%5D" xr:uid="{6CE45C78-33FF-409B-B7D1-55ED5243215C}"/>
    <hyperlink ref="E18" r:id="rId90" tooltip="por Cliente" display="https://qubex-higimed.integraerp.com.br/ViewCockpit001/Cp01Cli?wFIL_DD=0101&amp;wDT_INI=20%2F10%2F2026&amp;wDT_FIM=20%2F10%2F2026&amp;wACY_DD=%5B%22%2A%2A%2A%2A%2A%2A%22%5D" xr:uid="{F81D7FAA-6209-4009-8307-F99F7A8A264B}"/>
    <hyperlink ref="G18" r:id="rId91" tooltip="por Cliente" display="https://qubex-higimed.integraerp.com.br/ViewCockpit001/Cp01Cli?wFIL_DD=0101&amp;wDT_INI=20%2F10%2F2026&amp;wDT_FIM=20%2F10%2F2026&amp;wACY_DD=%5B%22%2A%2A%2A%2A%2A%2A%22%5D" xr:uid="{5E4EE0FA-B3A6-4483-8853-49B026528B1C}"/>
    <hyperlink ref="I18" r:id="rId92" tooltip="por Cliente" display="https://qubex-higimed.integraerp.com.br/ViewCockpit001/Cp01Cli?wFIL_DD=0101&amp;wDT_INI=20%2F10%2F2026&amp;wDT_FIM=20%2F10%2F2026&amp;wACY_DD=%5B%22%2A%2A%2A%2A%2A%2A%22%5D" xr:uid="{5805841B-46C8-4811-A12A-93F1DF772040}"/>
    <hyperlink ref="B19" r:id="rId93" tooltip="por Cliente" display="https://qubex-higimed.integraerp.com.br/ViewCockpit001/Cp01Cli?wFIL_DD=0101&amp;wDT_INI=21%2F10%2F2026&amp;wDT_FIM=21%2F10%2F2026&amp;wACY_DD=%5B%22%2A%2A%2A%2A%2A%2A%22%5D" xr:uid="{879CA852-48F7-47EA-8032-E11E92617195}"/>
    <hyperlink ref="C19" r:id="rId94" tooltip="por Cliente" display="https://qubex-higimed.integraerp.com.br/ViewCockpit001/Cp01Cli?wFIL_DD=0101&amp;wDT_INI=21%2F10%2F2026&amp;wDT_FIM=21%2F10%2F2026&amp;wACY_DD=%5B%22%2A%2A%2A%2A%2A%2A%22%5D" xr:uid="{C341E091-4BE7-44D7-94C5-24322C9FB854}"/>
    <hyperlink ref="D19" r:id="rId95" tooltip="por Cliente" display="https://qubex-higimed.integraerp.com.br/ViewCockpit001/Cp01Cli?wFIL_DD=0102&amp;wDT_INI=21%2F10%2F2026&amp;wDT_FIM=21%2F10%2F2026&amp;wACY_DD=%5B%22%2A%2A%2A%2A%2A%2A%22%5D" xr:uid="{BD6A736D-E57D-4E62-8311-AD3B2D3789E1}"/>
    <hyperlink ref="E19" r:id="rId96" tooltip="por Cliente" display="https://qubex-higimed.integraerp.com.br/ViewCockpit001/Cp01Cli?wFIL_DD=0101&amp;wDT_INI=21%2F10%2F2026&amp;wDT_FIM=21%2F10%2F2026&amp;wACY_DD=%5B%22%2A%2A%2A%2A%2A%2A%22%5D" xr:uid="{E8FA1758-0AB6-4D9C-970A-0EF3A77B867A}"/>
    <hyperlink ref="G19" r:id="rId97" tooltip="por Cliente" display="https://qubex-higimed.integraerp.com.br/ViewCockpit001/Cp01Cli?wFIL_DD=0101&amp;wDT_INI=21%2F10%2F2026&amp;wDT_FIM=21%2F10%2F2026&amp;wACY_DD=%5B%22%2A%2A%2A%2A%2A%2A%22%5D" xr:uid="{F817A03E-2763-4E40-A607-DB36EDA79830}"/>
    <hyperlink ref="I19" r:id="rId98" tooltip="por Cliente" display="https://qubex-higimed.integraerp.com.br/ViewCockpit001/Cp01Cli?wFIL_DD=0101&amp;wDT_INI=21%2F10%2F2026&amp;wDT_FIM=21%2F10%2F2026&amp;wACY_DD=%5B%22%2A%2A%2A%2A%2A%2A%22%5D" xr:uid="{25CAEB8F-B63C-484E-BC45-F81165558C94}"/>
    <hyperlink ref="B20" r:id="rId99" tooltip="por Cliente" display="https://qubex-higimed.integraerp.com.br/ViewCockpit001/Cp01Cli?wFIL_DD=0101&amp;wDT_INI=22%2F10%2F2026&amp;wDT_FIM=22%2F10%2F2026&amp;wACY_DD=%5B%22%2A%2A%2A%2A%2A%2A%22%5D" xr:uid="{7DA6DE3B-61E7-4299-8BC4-FC2AF3E662F8}"/>
    <hyperlink ref="C20" r:id="rId100" tooltip="por Cliente" display="https://qubex-higimed.integraerp.com.br/ViewCockpit001/Cp01Cli?wFIL_DD=0101&amp;wDT_INI=22%2F10%2F2026&amp;wDT_FIM=22%2F10%2F2026&amp;wACY_DD=%5B%22%2A%2A%2A%2A%2A%2A%22%5D" xr:uid="{BD60FEF0-5474-46D6-A5F2-EF2DAFF8B99B}"/>
    <hyperlink ref="D20" r:id="rId101" tooltip="por Cliente" display="https://qubex-higimed.integraerp.com.br/ViewCockpit001/Cp01Cli?wFIL_DD=0102&amp;wDT_INI=22%2F10%2F2026&amp;wDT_FIM=22%2F10%2F2026&amp;wACY_DD=%5B%22%2A%2A%2A%2A%2A%2A%22%5D" xr:uid="{49D3EB46-3608-49B9-A55C-96E319E31E51}"/>
    <hyperlink ref="E20" r:id="rId102" tooltip="por Cliente" display="https://qubex-higimed.integraerp.com.br/ViewCockpit001/Cp01Cli?wFIL_DD=0101&amp;wDT_INI=22%2F10%2F2026&amp;wDT_FIM=22%2F10%2F2026&amp;wACY_DD=%5B%22%2A%2A%2A%2A%2A%2A%22%5D" xr:uid="{F088F589-3D39-42DA-AF41-25DDB3728F24}"/>
    <hyperlink ref="G20" r:id="rId103" tooltip="por Cliente" display="https://qubex-higimed.integraerp.com.br/ViewCockpit001/Cp01Cli?wFIL_DD=0101&amp;wDT_INI=22%2F10%2F2026&amp;wDT_FIM=22%2F10%2F2026&amp;wACY_DD=%5B%22%2A%2A%2A%2A%2A%2A%22%5D" xr:uid="{F3C47B57-3594-4D55-A617-FFDC13F5FB73}"/>
    <hyperlink ref="I20" r:id="rId104" tooltip="por Cliente" display="https://qubex-higimed.integraerp.com.br/ViewCockpit001/Cp01Cli?wFIL_DD=0101&amp;wDT_INI=22%2F10%2F2026&amp;wDT_FIM=22%2F10%2F2026&amp;wACY_DD=%5B%22%2A%2A%2A%2A%2A%2A%22%5D" xr:uid="{1FC47A20-9CE2-4784-B0BA-E38A9864DCE4}"/>
    <hyperlink ref="B21" r:id="rId105" tooltip="por Cliente" display="https://qubex-higimed.integraerp.com.br/ViewCockpit001/Cp01Cli?wFIL_DD=0101&amp;wDT_INI=23%2F10%2F2026&amp;wDT_FIM=23%2F10%2F2026&amp;wACY_DD=%5B%22%2A%2A%2A%2A%2A%2A%22%5D" xr:uid="{E319463A-8363-4BBA-B1A3-39F493B7B6D9}"/>
    <hyperlink ref="C21" r:id="rId106" tooltip="por Cliente" display="https://qubex-higimed.integraerp.com.br/ViewCockpit001/Cp01Cli?wFIL_DD=0101&amp;wDT_INI=23%2F10%2F2026&amp;wDT_FIM=23%2F10%2F2026&amp;wACY_DD=%5B%22%2A%2A%2A%2A%2A%2A%22%5D" xr:uid="{57A685E2-9D7A-4021-822F-26463A7EEA54}"/>
    <hyperlink ref="D21" r:id="rId107" tooltip="por Cliente" display="https://qubex-higimed.integraerp.com.br/ViewCockpit001/Cp01Cli?wFIL_DD=0102&amp;wDT_INI=23%2F10%2F2026&amp;wDT_FIM=23%2F10%2F2026&amp;wACY_DD=%5B%22%2A%2A%2A%2A%2A%2A%22%5D" xr:uid="{4976344E-0814-4EFE-AB2F-EE2FE3AF2C2E}"/>
    <hyperlink ref="E21" r:id="rId108" tooltip="por Cliente" display="https://qubex-higimed.integraerp.com.br/ViewCockpit001/Cp01Cli?wFIL_DD=0101&amp;wDT_INI=23%2F10%2F2026&amp;wDT_FIM=23%2F10%2F2026&amp;wACY_DD=%5B%22%2A%2A%2A%2A%2A%2A%22%5D" xr:uid="{695CE89C-574C-4A69-B7B7-7FF03B4CD7B1}"/>
    <hyperlink ref="G21" r:id="rId109" tooltip="por Cliente" display="https://qubex-higimed.integraerp.com.br/ViewCockpit001/Cp01Cli?wFIL_DD=0101&amp;wDT_INI=23%2F10%2F2026&amp;wDT_FIM=23%2F10%2F2026&amp;wACY_DD=%5B%22%2A%2A%2A%2A%2A%2A%22%5D" xr:uid="{F86D88F9-D317-461D-9C61-FF135999D175}"/>
    <hyperlink ref="I21" r:id="rId110" tooltip="por Cliente" display="https://qubex-higimed.integraerp.com.br/ViewCockpit001/Cp01Cli?wFIL_DD=0101&amp;wDT_INI=23%2F10%2F2026&amp;wDT_FIM=23%2F10%2F2026&amp;wACY_DD=%5B%22%2A%2A%2A%2A%2A%2A%22%5D" xr:uid="{D0326386-67B6-4488-A438-F8FBAC6A450F}"/>
    <hyperlink ref="B22" r:id="rId111" tooltip="por Cliente" display="https://qubex-higimed.integraerp.com.br/ViewCockpit001/Cp01Cli?wFIL_DD=0101&amp;wDT_INI=26%2F10%2F2026&amp;wDT_FIM=26%2F10%2F2026&amp;wACY_DD=%5B%22%2A%2A%2A%2A%2A%2A%22%5D" xr:uid="{C7AF566F-9632-4AA4-8F34-0B970597D3BA}"/>
    <hyperlink ref="C22" r:id="rId112" tooltip="por Cliente" display="https://qubex-higimed.integraerp.com.br/ViewCockpit001/Cp01Cli?wFIL_DD=0101&amp;wDT_INI=26%2F10%2F2026&amp;wDT_FIM=26%2F10%2F2026&amp;wACY_DD=%5B%22%2A%2A%2A%2A%2A%2A%22%5D" xr:uid="{169EAA2C-A6AC-4FCE-93BB-ACEF1B3F8EBC}"/>
    <hyperlink ref="D22" r:id="rId113" tooltip="por Cliente" display="https://qubex-higimed.integraerp.com.br/ViewCockpit001/Cp01Cli?wFIL_DD=0102&amp;wDT_INI=26%2F10%2F2026&amp;wDT_FIM=26%2F10%2F2026&amp;wACY_DD=%5B%22%2A%2A%2A%2A%2A%2A%22%5D" xr:uid="{7676174D-27EF-49A8-A14E-D7BC7E0216B1}"/>
    <hyperlink ref="E22" r:id="rId114" tooltip="por Cliente" display="https://qubex-higimed.integraerp.com.br/ViewCockpit001/Cp01Cli?wFIL_DD=0101&amp;wDT_INI=26%2F10%2F2026&amp;wDT_FIM=26%2F10%2F2026&amp;wACY_DD=%5B%22%2A%2A%2A%2A%2A%2A%22%5D" xr:uid="{24DB1586-F850-47B7-9679-1296B90D21FF}"/>
    <hyperlink ref="G22" r:id="rId115" tooltip="por Cliente" display="https://qubex-higimed.integraerp.com.br/ViewCockpit001/Cp01Cli?wFIL_DD=0101&amp;wDT_INI=26%2F10%2F2026&amp;wDT_FIM=26%2F10%2F2026&amp;wACY_DD=%5B%22%2A%2A%2A%2A%2A%2A%22%5D" xr:uid="{F6EE7820-E235-40AE-9EE0-D9FF248828DF}"/>
    <hyperlink ref="I22" r:id="rId116" tooltip="por Cliente" display="https://qubex-higimed.integraerp.com.br/ViewCockpit001/Cp01Cli?wFIL_DD=0101&amp;wDT_INI=26%2F10%2F2026&amp;wDT_FIM=26%2F10%2F2026&amp;wACY_DD=%5B%22%2A%2A%2A%2A%2A%2A%22%5D" xr:uid="{59D0B290-8208-4530-9196-E059E3EFB104}"/>
    <hyperlink ref="B23" r:id="rId117" tooltip="por Cliente" display="https://qubex-higimed.integraerp.com.br/ViewCockpit001/Cp01Cli?wFIL_DD=0101&amp;wDT_INI=27%2F10%2F2026&amp;wDT_FIM=27%2F10%2F2026&amp;wACY_DD=%5B%22%2A%2A%2A%2A%2A%2A%22%5D" xr:uid="{8A006336-1515-4366-BB60-0F379AB25E3D}"/>
    <hyperlink ref="C23" r:id="rId118" tooltip="por Cliente" display="https://qubex-higimed.integraerp.com.br/ViewCockpit001/Cp01Cli?wFIL_DD=0101&amp;wDT_INI=27%2F10%2F2026&amp;wDT_FIM=27%2F10%2F2026&amp;wACY_DD=%5B%22%2A%2A%2A%2A%2A%2A%22%5D" xr:uid="{B27C3982-31D4-4CAD-A4BF-03134A481775}"/>
    <hyperlink ref="D23" r:id="rId119" tooltip="por Cliente" display="https://qubex-higimed.integraerp.com.br/ViewCockpit001/Cp01Cli?wFIL_DD=0102&amp;wDT_INI=27%2F10%2F2026&amp;wDT_FIM=27%2F10%2F2026&amp;wACY_DD=%5B%22%2A%2A%2A%2A%2A%2A%22%5D" xr:uid="{7A7748FF-DCEF-4FE1-9493-4A90724AD4B8}"/>
    <hyperlink ref="E23" r:id="rId120" tooltip="por Cliente" display="https://qubex-higimed.integraerp.com.br/ViewCockpit001/Cp01Cli?wFIL_DD=0101&amp;wDT_INI=27%2F10%2F2026&amp;wDT_FIM=27%2F10%2F2026&amp;wACY_DD=%5B%22%2A%2A%2A%2A%2A%2A%22%5D" xr:uid="{93532439-7A0E-4DEA-B3D9-0784C51E7BE7}"/>
    <hyperlink ref="G23" r:id="rId121" tooltip="por Cliente" display="https://qubex-higimed.integraerp.com.br/ViewCockpit001/Cp01Cli?wFIL_DD=0101&amp;wDT_INI=27%2F10%2F2026&amp;wDT_FIM=27%2F10%2F2026&amp;wACY_DD=%5B%22%2A%2A%2A%2A%2A%2A%22%5D" xr:uid="{0DC2FEC9-B20A-401A-8D11-AC1D2F0DC61B}"/>
    <hyperlink ref="I23" r:id="rId122" tooltip="por Cliente" display="https://qubex-higimed.integraerp.com.br/ViewCockpit001/Cp01Cli?wFIL_DD=0101&amp;wDT_INI=27%2F10%2F2026&amp;wDT_FIM=27%2F10%2F2026&amp;wACY_DD=%5B%22%2A%2A%2A%2A%2A%2A%22%5D" xr:uid="{0FD5E040-B03A-455A-9204-5AAD0A2AED19}"/>
    <hyperlink ref="B24" r:id="rId123" tooltip="por Cliente" display="https://qubex-higimed.integraerp.com.br/ViewCockpit001/Cp01Cli?wFIL_DD=0101&amp;wDT_INI=28%2F10%2F2026&amp;wDT_FIM=28%2F10%2F2026&amp;wACY_DD=%5B%22%2A%2A%2A%2A%2A%2A%22%5D" xr:uid="{D44FD28B-EBF8-471F-BB31-1BEFD1F43233}"/>
    <hyperlink ref="C24" r:id="rId124" tooltip="por Cliente" display="https://qubex-higimed.integraerp.com.br/ViewCockpit001/Cp01Cli?wFIL_DD=0101&amp;wDT_INI=28%2F10%2F2026&amp;wDT_FIM=28%2F10%2F2026&amp;wACY_DD=%5B%22%2A%2A%2A%2A%2A%2A%22%5D" xr:uid="{9EAB19A3-BECE-4184-930C-6A15ED9A29D6}"/>
    <hyperlink ref="D24" r:id="rId125" tooltip="por Cliente" display="https://qubex-higimed.integraerp.com.br/ViewCockpit001/Cp01Cli?wFIL_DD=0102&amp;wDT_INI=28%2F10%2F2026&amp;wDT_FIM=28%2F10%2F2026&amp;wACY_DD=%5B%22%2A%2A%2A%2A%2A%2A%22%5D" xr:uid="{9D649A28-9791-4AAC-B0A1-F2C3CA303F0C}"/>
    <hyperlink ref="E24" r:id="rId126" tooltip="por Cliente" display="https://qubex-higimed.integraerp.com.br/ViewCockpit001/Cp01Cli?wFIL_DD=0101&amp;wDT_INI=28%2F10%2F2026&amp;wDT_FIM=28%2F10%2F2026&amp;wACY_DD=%5B%22%2A%2A%2A%2A%2A%2A%22%5D" xr:uid="{21823261-B4F4-47FA-86BC-5F7CEE4685B2}"/>
    <hyperlink ref="G24" r:id="rId127" tooltip="por Cliente" display="https://qubex-higimed.integraerp.com.br/ViewCockpit001/Cp01Cli?wFIL_DD=0101&amp;wDT_INI=28%2F10%2F2026&amp;wDT_FIM=28%2F10%2F2026&amp;wACY_DD=%5B%22%2A%2A%2A%2A%2A%2A%22%5D" xr:uid="{FB38D098-8B1C-43C1-AD3A-C194FB3E3C7F}"/>
    <hyperlink ref="I24" r:id="rId128" tooltip="por Cliente" display="https://qubex-higimed.integraerp.com.br/ViewCockpit001/Cp01Cli?wFIL_DD=0101&amp;wDT_INI=28%2F10%2F2026&amp;wDT_FIM=28%2F10%2F2026&amp;wACY_DD=%5B%22%2A%2A%2A%2A%2A%2A%22%5D" xr:uid="{14A793E0-75A1-4F59-9C35-B1536EC89BEF}"/>
    <hyperlink ref="B25" r:id="rId129" tooltip="por Cliente" display="https://qubex-higimed.integraerp.com.br/ViewCockpit001/Cp01Cli?wFIL_DD=0101&amp;wDT_INI=29%2F10%2F2026&amp;wDT_FIM=29%2F10%2F2026&amp;wACY_DD=%5B%22%2A%2A%2A%2A%2A%2A%22%5D" xr:uid="{6F9D287F-5B13-4F5E-B9A9-FAE3F21A9F05}"/>
    <hyperlink ref="C25" r:id="rId130" tooltip="por Cliente" display="https://qubex-higimed.integraerp.com.br/ViewCockpit001/Cp01Cli?wFIL_DD=0101&amp;wDT_INI=29%2F10%2F2026&amp;wDT_FIM=29%2F10%2F2026&amp;wACY_DD=%5B%22%2A%2A%2A%2A%2A%2A%22%5D" xr:uid="{E20DED4D-CA1D-4234-932E-9D0B5BFD88AA}"/>
    <hyperlink ref="D25" r:id="rId131" tooltip="por Cliente" display="https://qubex-higimed.integraerp.com.br/ViewCockpit001/Cp01Cli?wFIL_DD=0102&amp;wDT_INI=29%2F10%2F2026&amp;wDT_FIM=29%2F10%2F2026&amp;wACY_DD=%5B%22%2A%2A%2A%2A%2A%2A%22%5D" xr:uid="{93988AEF-44D8-440D-A3F9-80D13FDE9B8D}"/>
    <hyperlink ref="E25" r:id="rId132" tooltip="por Cliente" display="https://qubex-higimed.integraerp.com.br/ViewCockpit001/Cp01Cli?wFIL_DD=0101&amp;wDT_INI=29%2F10%2F2026&amp;wDT_FIM=29%2F10%2F2026&amp;wACY_DD=%5B%22%2A%2A%2A%2A%2A%2A%22%5D" xr:uid="{F30E50C5-74FA-474A-B0A5-1A1DA6C88237}"/>
    <hyperlink ref="G25" r:id="rId133" tooltip="por Cliente" display="https://qubex-higimed.integraerp.com.br/ViewCockpit001/Cp01Cli?wFIL_DD=0101&amp;wDT_INI=29%2F10%2F2026&amp;wDT_FIM=29%2F10%2F2026&amp;wACY_DD=%5B%22%2A%2A%2A%2A%2A%2A%22%5D" xr:uid="{B642C56F-47C6-4274-AB89-8D8203E0CC13}"/>
    <hyperlink ref="I25" r:id="rId134" tooltip="por Cliente" display="https://qubex-higimed.integraerp.com.br/ViewCockpit001/Cp01Cli?wFIL_DD=0101&amp;wDT_INI=29%2F10%2F2026&amp;wDT_FIM=29%2F10%2F2026&amp;wACY_DD=%5B%22%2A%2A%2A%2A%2A%2A%22%5D" xr:uid="{C2C51E8D-EDDC-46DF-8B51-DB8FE9F897B0}"/>
  </hyperlinks>
  <pageMargins left="0.511811024" right="0.511811024" top="0.78740157499999996" bottom="0.78740157499999996" header="0.31496062000000002" footer="0.31496062000000002"/>
  <pageSetup orientation="portrait" horizontalDpi="300" verticalDpi="300" r:id="rId13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72C95-5BBD-470F-BA44-E40722CF8AA3}">
  <dimension ref="A1:D995"/>
  <sheetViews>
    <sheetView topLeftCell="A922" workbookViewId="0">
      <selection activeCell="I948" sqref="I948"/>
    </sheetView>
  </sheetViews>
  <sheetFormatPr defaultRowHeight="15" x14ac:dyDescent="0.25"/>
  <cols>
    <col min="1" max="1" width="10.42578125" style="3" bestFit="1" customWidth="1"/>
    <col min="2" max="2" width="5.28515625" style="3" bestFit="1" customWidth="1"/>
    <col min="3" max="3" width="23.5703125" style="3" bestFit="1" customWidth="1"/>
    <col min="4" max="4" width="13.140625" style="6" bestFit="1" customWidth="1"/>
    <col min="5" max="16384" width="9.140625" style="3"/>
  </cols>
  <sheetData>
    <row r="1" spans="1:4" ht="15.75" thickBot="1" x14ac:dyDescent="0.3">
      <c r="A1" s="2" t="s">
        <v>76</v>
      </c>
      <c r="B1" s="2" t="s">
        <v>0</v>
      </c>
      <c r="C1" s="2" t="s">
        <v>73</v>
      </c>
      <c r="D1" s="2" t="s">
        <v>74</v>
      </c>
    </row>
    <row r="2" spans="1:4" ht="15.75" thickTop="1" x14ac:dyDescent="0.25">
      <c r="A2" s="4">
        <v>46296</v>
      </c>
      <c r="B2" s="3">
        <v>101</v>
      </c>
      <c r="C2" s="3" t="s">
        <v>14</v>
      </c>
      <c r="D2" s="6">
        <v>199.22</v>
      </c>
    </row>
    <row r="3" spans="1:4" x14ac:dyDescent="0.25">
      <c r="A3" s="4">
        <v>46296</v>
      </c>
      <c r="B3" s="3">
        <v>101</v>
      </c>
      <c r="C3" s="3" t="s">
        <v>10</v>
      </c>
      <c r="D3" s="6">
        <v>21742.1</v>
      </c>
    </row>
    <row r="4" spans="1:4" x14ac:dyDescent="0.25">
      <c r="A4" s="4">
        <v>46296</v>
      </c>
      <c r="B4" s="3">
        <v>101</v>
      </c>
      <c r="C4" s="3" t="s">
        <v>8</v>
      </c>
      <c r="D4" s="6">
        <v>3082.2</v>
      </c>
    </row>
    <row r="5" spans="1:4" x14ac:dyDescent="0.25">
      <c r="A5" s="4">
        <v>46296</v>
      </c>
      <c r="B5" s="3">
        <v>101</v>
      </c>
      <c r="C5" s="3" t="s">
        <v>3</v>
      </c>
      <c r="D5" s="6">
        <v>1950</v>
      </c>
    </row>
    <row r="6" spans="1:4" x14ac:dyDescent="0.25">
      <c r="A6" s="4">
        <v>46296</v>
      </c>
      <c r="B6" s="3">
        <v>101</v>
      </c>
      <c r="C6" s="3" t="s">
        <v>20</v>
      </c>
      <c r="D6" s="6">
        <v>107.41</v>
      </c>
    </row>
    <row r="7" spans="1:4" x14ac:dyDescent="0.25">
      <c r="A7" s="4">
        <v>46296</v>
      </c>
      <c r="B7" s="3">
        <v>101</v>
      </c>
      <c r="C7" s="3" t="s">
        <v>6</v>
      </c>
      <c r="D7" s="6">
        <v>11709.92</v>
      </c>
    </row>
    <row r="8" spans="1:4" x14ac:dyDescent="0.25">
      <c r="A8" s="4">
        <v>46296</v>
      </c>
      <c r="B8" s="3">
        <v>101</v>
      </c>
      <c r="C8" s="3" t="s">
        <v>13</v>
      </c>
      <c r="D8" s="6">
        <v>3257.84</v>
      </c>
    </row>
    <row r="9" spans="1:4" x14ac:dyDescent="0.25">
      <c r="A9" s="4">
        <v>46296</v>
      </c>
      <c r="B9" s="3">
        <v>101</v>
      </c>
      <c r="C9" s="3" t="s">
        <v>25</v>
      </c>
      <c r="D9" s="6">
        <v>855.6</v>
      </c>
    </row>
    <row r="10" spans="1:4" x14ac:dyDescent="0.25">
      <c r="A10" s="4">
        <v>46296</v>
      </c>
      <c r="B10" s="3">
        <v>101</v>
      </c>
      <c r="C10" s="3" t="s">
        <v>17</v>
      </c>
      <c r="D10" s="6">
        <v>4266.6000000000004</v>
      </c>
    </row>
    <row r="11" spans="1:4" x14ac:dyDescent="0.25">
      <c r="A11" s="4">
        <v>46296</v>
      </c>
      <c r="B11" s="3">
        <v>101</v>
      </c>
      <c r="C11" s="3" t="s">
        <v>16</v>
      </c>
      <c r="D11" s="6">
        <v>292</v>
      </c>
    </row>
    <row r="12" spans="1:4" x14ac:dyDescent="0.25">
      <c r="A12" s="4">
        <v>46296</v>
      </c>
      <c r="B12" s="3">
        <v>101</v>
      </c>
      <c r="C12" s="3" t="s">
        <v>9</v>
      </c>
      <c r="D12" s="6">
        <v>22033.85</v>
      </c>
    </row>
    <row r="13" spans="1:4" x14ac:dyDescent="0.25">
      <c r="A13" s="4">
        <v>46296</v>
      </c>
      <c r="B13" s="3">
        <v>101</v>
      </c>
      <c r="C13" s="3" t="s">
        <v>1</v>
      </c>
      <c r="D13" s="6">
        <v>90441.7</v>
      </c>
    </row>
    <row r="14" spans="1:4" x14ac:dyDescent="0.25">
      <c r="A14" s="4">
        <v>46296</v>
      </c>
      <c r="B14" s="3">
        <v>101</v>
      </c>
      <c r="C14" s="3" t="s">
        <v>1</v>
      </c>
      <c r="D14" s="6">
        <v>306.7</v>
      </c>
    </row>
    <row r="15" spans="1:4" x14ac:dyDescent="0.25">
      <c r="A15" s="4">
        <v>46296</v>
      </c>
      <c r="B15" s="3">
        <v>101</v>
      </c>
      <c r="C15" s="3" t="s">
        <v>1</v>
      </c>
      <c r="D15" s="6">
        <v>169</v>
      </c>
    </row>
    <row r="16" spans="1:4" x14ac:dyDescent="0.25">
      <c r="A16" s="4">
        <v>46296</v>
      </c>
      <c r="B16" s="3">
        <v>101</v>
      </c>
      <c r="C16" s="3" t="s">
        <v>1</v>
      </c>
      <c r="D16" s="6">
        <v>4448.92</v>
      </c>
    </row>
    <row r="17" spans="1:4" x14ac:dyDescent="0.25">
      <c r="A17" s="4">
        <v>46296</v>
      </c>
      <c r="B17" s="3">
        <v>101</v>
      </c>
      <c r="C17" s="3" t="s">
        <v>1</v>
      </c>
      <c r="D17" s="6">
        <v>2434.4</v>
      </c>
    </row>
    <row r="18" spans="1:4" x14ac:dyDescent="0.25">
      <c r="A18" s="4">
        <v>46296</v>
      </c>
      <c r="B18" s="3">
        <v>101</v>
      </c>
      <c r="C18" s="3" t="s">
        <v>1</v>
      </c>
      <c r="D18" s="6">
        <v>1305.8599999999999</v>
      </c>
    </row>
    <row r="19" spans="1:4" x14ac:dyDescent="0.25">
      <c r="A19" s="4">
        <v>46296</v>
      </c>
      <c r="B19" s="3">
        <v>101</v>
      </c>
      <c r="C19" s="3" t="s">
        <v>24</v>
      </c>
      <c r="D19" s="6">
        <v>5638.5</v>
      </c>
    </row>
    <row r="20" spans="1:4" x14ac:dyDescent="0.25">
      <c r="A20" s="4">
        <v>46296</v>
      </c>
      <c r="B20" s="3">
        <v>101</v>
      </c>
      <c r="C20" s="3" t="s">
        <v>11</v>
      </c>
      <c r="D20" s="6">
        <v>1422.72</v>
      </c>
    </row>
    <row r="21" spans="1:4" x14ac:dyDescent="0.25">
      <c r="A21" s="4">
        <v>46296</v>
      </c>
      <c r="B21" s="3">
        <v>101</v>
      </c>
      <c r="C21" s="3" t="s">
        <v>11</v>
      </c>
      <c r="D21" s="6">
        <v>1442.5</v>
      </c>
    </row>
    <row r="22" spans="1:4" x14ac:dyDescent="0.25">
      <c r="A22" s="4">
        <v>46296</v>
      </c>
      <c r="B22" s="3">
        <v>101</v>
      </c>
      <c r="C22" s="3" t="s">
        <v>11</v>
      </c>
      <c r="D22" s="6">
        <v>1903.36</v>
      </c>
    </row>
    <row r="23" spans="1:4" x14ac:dyDescent="0.25">
      <c r="A23" s="4">
        <v>46296</v>
      </c>
      <c r="B23" s="3">
        <v>101</v>
      </c>
      <c r="C23" s="3" t="s">
        <v>21</v>
      </c>
      <c r="D23" s="6">
        <v>2140</v>
      </c>
    </row>
    <row r="24" spans="1:4" x14ac:dyDescent="0.25">
      <c r="A24" s="4">
        <v>46296</v>
      </c>
      <c r="B24" s="3">
        <v>101</v>
      </c>
      <c r="C24" s="3" t="s">
        <v>26</v>
      </c>
      <c r="D24" s="6">
        <v>2797.2</v>
      </c>
    </row>
    <row r="25" spans="1:4" x14ac:dyDescent="0.25">
      <c r="A25" s="4">
        <v>46296</v>
      </c>
      <c r="B25" s="3">
        <v>101</v>
      </c>
      <c r="C25" s="3" t="s">
        <v>22</v>
      </c>
      <c r="D25" s="6">
        <v>2870.1</v>
      </c>
    </row>
    <row r="26" spans="1:4" x14ac:dyDescent="0.25">
      <c r="A26" s="4">
        <v>46296</v>
      </c>
      <c r="B26" s="3">
        <v>101</v>
      </c>
      <c r="C26" s="3" t="s">
        <v>19</v>
      </c>
      <c r="D26" s="6">
        <v>5799</v>
      </c>
    </row>
    <row r="27" spans="1:4" x14ac:dyDescent="0.25">
      <c r="A27" s="4">
        <v>46296</v>
      </c>
      <c r="B27" s="3">
        <v>101</v>
      </c>
      <c r="C27" s="3" t="s">
        <v>27</v>
      </c>
      <c r="D27" s="6">
        <v>2797.2</v>
      </c>
    </row>
    <row r="28" spans="1:4" x14ac:dyDescent="0.25">
      <c r="A28" s="4">
        <v>46296</v>
      </c>
      <c r="B28" s="3">
        <v>101</v>
      </c>
      <c r="C28" s="3" t="s">
        <v>18</v>
      </c>
      <c r="D28" s="6">
        <v>4878.5</v>
      </c>
    </row>
    <row r="29" spans="1:4" x14ac:dyDescent="0.25">
      <c r="A29" s="4">
        <v>46296</v>
      </c>
      <c r="B29" s="3">
        <v>101</v>
      </c>
      <c r="C29" s="3" t="s">
        <v>18</v>
      </c>
      <c r="D29" s="6">
        <v>15.22</v>
      </c>
    </row>
    <row r="30" spans="1:4" x14ac:dyDescent="0.25">
      <c r="A30" s="4">
        <v>46296</v>
      </c>
      <c r="B30" s="3">
        <v>101</v>
      </c>
      <c r="C30" s="3" t="s">
        <v>18</v>
      </c>
      <c r="D30" s="6">
        <v>881.93</v>
      </c>
    </row>
    <row r="31" spans="1:4" x14ac:dyDescent="0.25">
      <c r="A31" s="4">
        <v>46296</v>
      </c>
      <c r="B31" s="3">
        <v>101</v>
      </c>
      <c r="C31" s="3" t="s">
        <v>18</v>
      </c>
      <c r="D31" s="6">
        <v>1981.58</v>
      </c>
    </row>
    <row r="32" spans="1:4" x14ac:dyDescent="0.25">
      <c r="A32" s="4">
        <v>46296</v>
      </c>
      <c r="B32" s="3">
        <v>101</v>
      </c>
      <c r="C32" s="3" t="s">
        <v>7</v>
      </c>
      <c r="D32" s="6">
        <v>3957.73</v>
      </c>
    </row>
    <row r="33" spans="1:4" x14ac:dyDescent="0.25">
      <c r="A33" s="4">
        <v>46296</v>
      </c>
      <c r="B33" s="3">
        <v>101</v>
      </c>
      <c r="C33" s="3" t="s">
        <v>12</v>
      </c>
      <c r="D33" s="6">
        <v>5861.75</v>
      </c>
    </row>
    <row r="34" spans="1:4" x14ac:dyDescent="0.25">
      <c r="A34" s="4">
        <v>46296</v>
      </c>
      <c r="B34" s="3">
        <v>101</v>
      </c>
      <c r="C34" s="3" t="s">
        <v>15</v>
      </c>
      <c r="D34" s="6">
        <v>20344.37</v>
      </c>
    </row>
    <row r="35" spans="1:4" x14ac:dyDescent="0.25">
      <c r="A35" s="4">
        <v>46296</v>
      </c>
      <c r="B35" s="3">
        <v>101</v>
      </c>
      <c r="C35" s="3" t="s">
        <v>5</v>
      </c>
      <c r="D35" s="6">
        <v>9996</v>
      </c>
    </row>
    <row r="36" spans="1:4" x14ac:dyDescent="0.25">
      <c r="A36" s="4">
        <v>46296</v>
      </c>
      <c r="B36" s="3">
        <v>101</v>
      </c>
      <c r="C36" s="3" t="s">
        <v>2</v>
      </c>
      <c r="D36" s="6">
        <v>9363.6</v>
      </c>
    </row>
    <row r="37" spans="1:4" x14ac:dyDescent="0.25">
      <c r="A37" s="4">
        <v>46296</v>
      </c>
      <c r="B37" s="3">
        <v>101</v>
      </c>
      <c r="C37" s="3" t="s">
        <v>23</v>
      </c>
      <c r="D37" s="6">
        <v>1719.02</v>
      </c>
    </row>
    <row r="38" spans="1:4" x14ac:dyDescent="0.25">
      <c r="A38" s="4">
        <v>46296</v>
      </c>
      <c r="B38" s="3">
        <v>101</v>
      </c>
      <c r="C38" s="3" t="s">
        <v>4</v>
      </c>
      <c r="D38" s="6">
        <v>17013.18</v>
      </c>
    </row>
    <row r="39" spans="1:4" customFormat="1" x14ac:dyDescent="0.25">
      <c r="A39" s="5">
        <v>46297</v>
      </c>
      <c r="B39" s="3">
        <v>101</v>
      </c>
      <c r="C39" s="3" t="s">
        <v>45</v>
      </c>
      <c r="D39" s="6">
        <v>2858.4</v>
      </c>
    </row>
    <row r="40" spans="1:4" customFormat="1" x14ac:dyDescent="0.25">
      <c r="A40" s="5">
        <v>46297</v>
      </c>
      <c r="B40" s="3">
        <v>101</v>
      </c>
      <c r="C40" s="3" t="s">
        <v>10</v>
      </c>
      <c r="D40" s="6">
        <v>20504.36</v>
      </c>
    </row>
    <row r="41" spans="1:4" customFormat="1" x14ac:dyDescent="0.25">
      <c r="A41" s="5">
        <v>46297</v>
      </c>
      <c r="B41" s="3">
        <v>101</v>
      </c>
      <c r="C41" s="3" t="s">
        <v>46</v>
      </c>
      <c r="D41" s="6">
        <v>512.54</v>
      </c>
    </row>
    <row r="42" spans="1:4" customFormat="1" x14ac:dyDescent="0.25">
      <c r="A42" s="5">
        <v>46297</v>
      </c>
      <c r="B42" s="3">
        <v>101</v>
      </c>
      <c r="C42" s="3" t="s">
        <v>36</v>
      </c>
      <c r="D42" s="6">
        <v>17482.14</v>
      </c>
    </row>
    <row r="43" spans="1:4" customFormat="1" x14ac:dyDescent="0.25">
      <c r="A43" s="5">
        <v>46297</v>
      </c>
      <c r="B43" s="3">
        <v>101</v>
      </c>
      <c r="C43" s="3" t="s">
        <v>20</v>
      </c>
      <c r="D43" s="6">
        <v>18420.59</v>
      </c>
    </row>
    <row r="44" spans="1:4" customFormat="1" x14ac:dyDescent="0.25">
      <c r="A44" s="5">
        <v>46297</v>
      </c>
      <c r="B44" s="3">
        <v>101</v>
      </c>
      <c r="C44" s="3" t="s">
        <v>6</v>
      </c>
      <c r="D44" s="6">
        <v>2253.69</v>
      </c>
    </row>
    <row r="45" spans="1:4" customFormat="1" x14ac:dyDescent="0.25">
      <c r="A45" s="5">
        <v>46297</v>
      </c>
      <c r="B45" s="3">
        <v>101</v>
      </c>
      <c r="C45" s="3" t="s">
        <v>31</v>
      </c>
      <c r="D45" s="6">
        <v>5888.97</v>
      </c>
    </row>
    <row r="46" spans="1:4" customFormat="1" x14ac:dyDescent="0.25">
      <c r="A46" s="5">
        <v>46297</v>
      </c>
      <c r="B46" s="3">
        <v>101</v>
      </c>
      <c r="C46" s="3" t="s">
        <v>57</v>
      </c>
      <c r="D46" s="6">
        <v>690.6</v>
      </c>
    </row>
    <row r="47" spans="1:4" customFormat="1" x14ac:dyDescent="0.25">
      <c r="A47" s="5">
        <v>46297</v>
      </c>
      <c r="B47" s="3">
        <v>101</v>
      </c>
      <c r="C47" s="3" t="s">
        <v>57</v>
      </c>
      <c r="D47" s="6">
        <v>505.85</v>
      </c>
    </row>
    <row r="48" spans="1:4" customFormat="1" x14ac:dyDescent="0.25">
      <c r="A48" s="5">
        <v>46297</v>
      </c>
      <c r="B48" s="3">
        <v>101</v>
      </c>
      <c r="C48" s="3" t="s">
        <v>56</v>
      </c>
      <c r="D48" s="6">
        <v>1895.79</v>
      </c>
    </row>
    <row r="49" spans="1:4" customFormat="1" x14ac:dyDescent="0.25">
      <c r="A49" s="5">
        <v>46297</v>
      </c>
      <c r="B49" s="3">
        <v>101</v>
      </c>
      <c r="C49" s="3" t="s">
        <v>28</v>
      </c>
      <c r="D49" s="6">
        <v>-66.7</v>
      </c>
    </row>
    <row r="50" spans="1:4" customFormat="1" x14ac:dyDescent="0.25">
      <c r="A50" s="5">
        <v>46297</v>
      </c>
      <c r="B50" s="3">
        <v>101</v>
      </c>
      <c r="C50" s="3" t="s">
        <v>28</v>
      </c>
      <c r="D50" s="6">
        <v>280</v>
      </c>
    </row>
    <row r="51" spans="1:4" customFormat="1" x14ac:dyDescent="0.25">
      <c r="A51" s="5">
        <v>46297</v>
      </c>
      <c r="B51" s="3">
        <v>101</v>
      </c>
      <c r="C51" s="3" t="s">
        <v>30</v>
      </c>
      <c r="D51" s="6">
        <v>11702.28</v>
      </c>
    </row>
    <row r="52" spans="1:4" customFormat="1" x14ac:dyDescent="0.25">
      <c r="A52" s="5">
        <v>46297</v>
      </c>
      <c r="B52" s="3">
        <v>101</v>
      </c>
      <c r="C52" s="3" t="s">
        <v>58</v>
      </c>
      <c r="D52" s="6">
        <v>24626.1</v>
      </c>
    </row>
    <row r="53" spans="1:4" customFormat="1" x14ac:dyDescent="0.25">
      <c r="A53" s="5">
        <v>46297</v>
      </c>
      <c r="B53" s="3">
        <v>101</v>
      </c>
      <c r="C53" s="3" t="s">
        <v>60</v>
      </c>
      <c r="D53" s="6">
        <v>4360</v>
      </c>
    </row>
    <row r="54" spans="1:4" customFormat="1" x14ac:dyDescent="0.25">
      <c r="A54" s="5">
        <v>46297</v>
      </c>
      <c r="B54" s="3">
        <v>101</v>
      </c>
      <c r="C54" s="3" t="s">
        <v>34</v>
      </c>
      <c r="D54" s="6">
        <v>10618</v>
      </c>
    </row>
    <row r="55" spans="1:4" customFormat="1" x14ac:dyDescent="0.25">
      <c r="A55" s="5">
        <v>46297</v>
      </c>
      <c r="B55" s="3">
        <v>101</v>
      </c>
      <c r="C55" s="3" t="s">
        <v>17</v>
      </c>
      <c r="D55" s="6">
        <v>3077</v>
      </c>
    </row>
    <row r="56" spans="1:4" customFormat="1" x14ac:dyDescent="0.25">
      <c r="A56" s="5">
        <v>46297</v>
      </c>
      <c r="B56" s="3">
        <v>101</v>
      </c>
      <c r="C56" s="3" t="s">
        <v>33</v>
      </c>
      <c r="D56" s="6">
        <v>1679.2</v>
      </c>
    </row>
    <row r="57" spans="1:4" customFormat="1" x14ac:dyDescent="0.25">
      <c r="A57" s="5">
        <v>46297</v>
      </c>
      <c r="B57" s="3">
        <v>101</v>
      </c>
      <c r="C57" s="3" t="s">
        <v>44</v>
      </c>
      <c r="D57" s="6">
        <v>1842</v>
      </c>
    </row>
    <row r="58" spans="1:4" customFormat="1" ht="30" x14ac:dyDescent="0.25">
      <c r="A58" s="5">
        <v>46297</v>
      </c>
      <c r="B58" s="3">
        <v>101</v>
      </c>
      <c r="C58" s="3" t="s">
        <v>38</v>
      </c>
      <c r="D58" s="6">
        <v>-11744.15</v>
      </c>
    </row>
    <row r="59" spans="1:4" customFormat="1" ht="30" x14ac:dyDescent="0.25">
      <c r="A59" s="5">
        <v>46297</v>
      </c>
      <c r="B59" s="3">
        <v>101</v>
      </c>
      <c r="C59" s="3" t="s">
        <v>38</v>
      </c>
      <c r="D59" s="6">
        <v>1922.1</v>
      </c>
    </row>
    <row r="60" spans="1:4" customFormat="1" x14ac:dyDescent="0.25">
      <c r="A60" s="5">
        <v>46297</v>
      </c>
      <c r="B60" s="3">
        <v>101</v>
      </c>
      <c r="C60" s="3" t="s">
        <v>41</v>
      </c>
      <c r="D60" s="6">
        <v>15386.54</v>
      </c>
    </row>
    <row r="61" spans="1:4" customFormat="1" x14ac:dyDescent="0.25">
      <c r="A61" s="5">
        <v>46297</v>
      </c>
      <c r="B61" s="3">
        <v>101</v>
      </c>
      <c r="C61" s="3" t="s">
        <v>47</v>
      </c>
      <c r="D61" s="6">
        <v>2367.04</v>
      </c>
    </row>
    <row r="62" spans="1:4" customFormat="1" x14ac:dyDescent="0.25">
      <c r="A62" s="5">
        <v>46297</v>
      </c>
      <c r="B62" s="3">
        <v>101</v>
      </c>
      <c r="C62" s="3" t="s">
        <v>1</v>
      </c>
      <c r="D62" s="6">
        <v>93931.5</v>
      </c>
    </row>
    <row r="63" spans="1:4" customFormat="1" x14ac:dyDescent="0.25">
      <c r="A63" s="5">
        <v>46297</v>
      </c>
      <c r="B63" s="3">
        <v>101</v>
      </c>
      <c r="C63" s="3" t="s">
        <v>37</v>
      </c>
      <c r="D63" s="6">
        <v>1835.6</v>
      </c>
    </row>
    <row r="64" spans="1:4" customFormat="1" x14ac:dyDescent="0.25">
      <c r="A64" s="5">
        <v>46297</v>
      </c>
      <c r="B64" s="3">
        <v>101</v>
      </c>
      <c r="C64" s="3" t="s">
        <v>50</v>
      </c>
      <c r="D64" s="6">
        <v>1155.24</v>
      </c>
    </row>
    <row r="65" spans="1:4" customFormat="1" x14ac:dyDescent="0.25">
      <c r="A65" s="5">
        <v>46297</v>
      </c>
      <c r="B65" s="3">
        <v>101</v>
      </c>
      <c r="C65" s="3" t="s">
        <v>35</v>
      </c>
      <c r="D65" s="6">
        <v>1308.3599999999999</v>
      </c>
    </row>
    <row r="66" spans="1:4" customFormat="1" x14ac:dyDescent="0.25">
      <c r="A66" s="5">
        <v>46297</v>
      </c>
      <c r="B66" s="3">
        <v>101</v>
      </c>
      <c r="C66" s="3" t="s">
        <v>52</v>
      </c>
      <c r="D66" s="6">
        <v>1654.28</v>
      </c>
    </row>
    <row r="67" spans="1:4" customFormat="1" x14ac:dyDescent="0.25">
      <c r="A67" s="5">
        <v>46297</v>
      </c>
      <c r="B67" s="3">
        <v>101</v>
      </c>
      <c r="C67" s="3" t="s">
        <v>11</v>
      </c>
      <c r="D67" s="6">
        <v>1536.16</v>
      </c>
    </row>
    <row r="68" spans="1:4" customFormat="1" x14ac:dyDescent="0.25">
      <c r="A68" s="5">
        <v>46297</v>
      </c>
      <c r="B68" s="3">
        <v>101</v>
      </c>
      <c r="C68" s="3" t="s">
        <v>21</v>
      </c>
      <c r="D68" s="6">
        <v>96.32</v>
      </c>
    </row>
    <row r="69" spans="1:4" customFormat="1" x14ac:dyDescent="0.25">
      <c r="A69" s="5">
        <v>46297</v>
      </c>
      <c r="B69" s="3">
        <v>101</v>
      </c>
      <c r="C69" s="3" t="s">
        <v>59</v>
      </c>
      <c r="D69" s="6">
        <v>971.42</v>
      </c>
    </row>
    <row r="70" spans="1:4" customFormat="1" x14ac:dyDescent="0.25">
      <c r="A70" s="5">
        <v>46297</v>
      </c>
      <c r="B70" s="3">
        <v>101</v>
      </c>
      <c r="C70" s="3" t="s">
        <v>19</v>
      </c>
      <c r="D70" s="6">
        <v>1112.18</v>
      </c>
    </row>
    <row r="71" spans="1:4" customFormat="1" x14ac:dyDescent="0.25">
      <c r="A71" s="5">
        <v>46297</v>
      </c>
      <c r="B71" s="3">
        <v>101</v>
      </c>
      <c r="C71" s="3" t="s">
        <v>19</v>
      </c>
      <c r="D71" s="6">
        <v>12891.7</v>
      </c>
    </row>
    <row r="72" spans="1:4" customFormat="1" x14ac:dyDescent="0.25">
      <c r="A72" s="5">
        <v>46297</v>
      </c>
      <c r="B72" s="3">
        <v>101</v>
      </c>
      <c r="C72" s="3" t="s">
        <v>53</v>
      </c>
      <c r="D72" s="6">
        <v>6579</v>
      </c>
    </row>
    <row r="73" spans="1:4" customFormat="1" x14ac:dyDescent="0.25">
      <c r="A73" s="5">
        <v>46297</v>
      </c>
      <c r="B73" s="3">
        <v>101</v>
      </c>
      <c r="C73" s="3" t="s">
        <v>29</v>
      </c>
      <c r="D73" s="6">
        <v>15250.48</v>
      </c>
    </row>
    <row r="74" spans="1:4" customFormat="1" x14ac:dyDescent="0.25">
      <c r="A74" s="5">
        <v>46297</v>
      </c>
      <c r="B74" s="3">
        <v>101</v>
      </c>
      <c r="C74" s="3" t="s">
        <v>18</v>
      </c>
      <c r="D74" s="6">
        <v>1609.74</v>
      </c>
    </row>
    <row r="75" spans="1:4" customFormat="1" x14ac:dyDescent="0.25">
      <c r="A75" s="5">
        <v>46297</v>
      </c>
      <c r="B75" s="3">
        <v>101</v>
      </c>
      <c r="C75" s="3" t="s">
        <v>18</v>
      </c>
      <c r="D75" s="6">
        <v>15335.9</v>
      </c>
    </row>
    <row r="76" spans="1:4" customFormat="1" x14ac:dyDescent="0.25">
      <c r="A76" s="5">
        <v>46297</v>
      </c>
      <c r="B76" s="3">
        <v>101</v>
      </c>
      <c r="C76" s="3" t="s">
        <v>40</v>
      </c>
      <c r="D76" s="6">
        <v>917.36</v>
      </c>
    </row>
    <row r="77" spans="1:4" customFormat="1" x14ac:dyDescent="0.25">
      <c r="A77" s="5">
        <v>46297</v>
      </c>
      <c r="B77" s="3">
        <v>101</v>
      </c>
      <c r="C77" s="3" t="s">
        <v>32</v>
      </c>
      <c r="D77" s="6">
        <v>2126.64</v>
      </c>
    </row>
    <row r="78" spans="1:4" customFormat="1" x14ac:dyDescent="0.25">
      <c r="A78" s="5">
        <v>46297</v>
      </c>
      <c r="B78" s="3">
        <v>101</v>
      </c>
      <c r="C78" s="3" t="s">
        <v>61</v>
      </c>
      <c r="D78" s="6">
        <v>14099.77</v>
      </c>
    </row>
    <row r="79" spans="1:4" customFormat="1" x14ac:dyDescent="0.25">
      <c r="A79" s="5">
        <v>46297</v>
      </c>
      <c r="B79" s="3">
        <v>101</v>
      </c>
      <c r="C79" s="3" t="s">
        <v>49</v>
      </c>
      <c r="D79" s="6">
        <v>697.94</v>
      </c>
    </row>
    <row r="80" spans="1:4" customFormat="1" x14ac:dyDescent="0.25">
      <c r="A80" s="5">
        <v>46297</v>
      </c>
      <c r="B80" s="3">
        <v>101</v>
      </c>
      <c r="C80" s="3" t="s">
        <v>55</v>
      </c>
      <c r="D80" s="6">
        <v>686.55</v>
      </c>
    </row>
    <row r="81" spans="1:4" customFormat="1" x14ac:dyDescent="0.25">
      <c r="A81" s="5">
        <v>46297</v>
      </c>
      <c r="B81" s="3">
        <v>101</v>
      </c>
      <c r="C81" s="3" t="s">
        <v>48</v>
      </c>
      <c r="D81" s="6">
        <v>18763.740000000002</v>
      </c>
    </row>
    <row r="82" spans="1:4" customFormat="1" x14ac:dyDescent="0.25">
      <c r="A82" s="5">
        <v>46297</v>
      </c>
      <c r="B82" s="3">
        <v>101</v>
      </c>
      <c r="C82" s="3" t="s">
        <v>48</v>
      </c>
      <c r="D82" s="6">
        <v>917</v>
      </c>
    </row>
    <row r="83" spans="1:4" customFormat="1" x14ac:dyDescent="0.25">
      <c r="A83" s="5">
        <v>46297</v>
      </c>
      <c r="B83" s="3">
        <v>101</v>
      </c>
      <c r="C83" s="3" t="s">
        <v>48</v>
      </c>
      <c r="D83" s="6">
        <v>1540.9</v>
      </c>
    </row>
    <row r="84" spans="1:4" customFormat="1" x14ac:dyDescent="0.25">
      <c r="A84" s="5">
        <v>46297</v>
      </c>
      <c r="B84" s="3">
        <v>101</v>
      </c>
      <c r="C84" s="3" t="s">
        <v>48</v>
      </c>
      <c r="D84" s="6">
        <v>1263.4000000000001</v>
      </c>
    </row>
    <row r="85" spans="1:4" customFormat="1" x14ac:dyDescent="0.25">
      <c r="A85" s="5">
        <v>46297</v>
      </c>
      <c r="B85" s="3">
        <v>101</v>
      </c>
      <c r="C85" s="3" t="s">
        <v>39</v>
      </c>
      <c r="D85" s="6">
        <v>4274.8</v>
      </c>
    </row>
    <row r="86" spans="1:4" customFormat="1" x14ac:dyDescent="0.25">
      <c r="A86" s="5">
        <v>46297</v>
      </c>
      <c r="B86" s="3">
        <v>101</v>
      </c>
      <c r="C86" s="3" t="s">
        <v>43</v>
      </c>
      <c r="D86" s="6">
        <v>465</v>
      </c>
    </row>
    <row r="87" spans="1:4" customFormat="1" x14ac:dyDescent="0.25">
      <c r="A87" s="5">
        <v>46297</v>
      </c>
      <c r="B87" s="3">
        <v>101</v>
      </c>
      <c r="C87" s="3" t="s">
        <v>43</v>
      </c>
      <c r="D87" s="6">
        <v>620</v>
      </c>
    </row>
    <row r="88" spans="1:4" customFormat="1" x14ac:dyDescent="0.25">
      <c r="A88" s="5">
        <v>46297</v>
      </c>
      <c r="B88" s="3">
        <v>101</v>
      </c>
      <c r="C88" s="3" t="s">
        <v>43</v>
      </c>
      <c r="D88" s="6">
        <v>620</v>
      </c>
    </row>
    <row r="89" spans="1:4" customFormat="1" x14ac:dyDescent="0.25">
      <c r="A89" s="5">
        <v>46297</v>
      </c>
      <c r="B89" s="3">
        <v>101</v>
      </c>
      <c r="C89" s="3" t="s">
        <v>5</v>
      </c>
      <c r="D89" s="6">
        <v>21714</v>
      </c>
    </row>
    <row r="90" spans="1:4" customFormat="1" x14ac:dyDescent="0.25">
      <c r="A90" s="5">
        <v>46297</v>
      </c>
      <c r="B90" s="3">
        <v>101</v>
      </c>
      <c r="C90" s="3" t="s">
        <v>51</v>
      </c>
      <c r="D90" s="6">
        <v>13832</v>
      </c>
    </row>
    <row r="91" spans="1:4" customFormat="1" x14ac:dyDescent="0.25">
      <c r="A91" s="5">
        <v>46297</v>
      </c>
      <c r="B91" s="3">
        <v>101</v>
      </c>
      <c r="C91" s="3" t="s">
        <v>54</v>
      </c>
      <c r="D91" s="6">
        <v>300</v>
      </c>
    </row>
    <row r="92" spans="1:4" customFormat="1" x14ac:dyDescent="0.25">
      <c r="A92" s="5">
        <v>46297</v>
      </c>
      <c r="B92" s="3">
        <v>101</v>
      </c>
      <c r="C92" s="3" t="s">
        <v>4</v>
      </c>
      <c r="D92" s="6">
        <v>-14552.5</v>
      </c>
    </row>
    <row r="93" spans="1:4" customFormat="1" x14ac:dyDescent="0.25">
      <c r="A93" s="5">
        <v>46297</v>
      </c>
      <c r="B93" s="3">
        <v>101</v>
      </c>
      <c r="C93" s="3" t="s">
        <v>4</v>
      </c>
      <c r="D93" s="6">
        <v>-236.53</v>
      </c>
    </row>
    <row r="94" spans="1:4" customFormat="1" x14ac:dyDescent="0.25">
      <c r="A94" s="5">
        <v>46297</v>
      </c>
      <c r="B94" s="3">
        <v>101</v>
      </c>
      <c r="C94" s="3" t="s">
        <v>4</v>
      </c>
      <c r="D94" s="6">
        <v>33266.58</v>
      </c>
    </row>
    <row r="95" spans="1:4" customFormat="1" x14ac:dyDescent="0.25">
      <c r="A95" s="5">
        <v>46297</v>
      </c>
      <c r="B95" s="3">
        <v>101</v>
      </c>
      <c r="C95" s="3" t="s">
        <v>4</v>
      </c>
      <c r="D95" s="6">
        <v>2490</v>
      </c>
    </row>
    <row r="96" spans="1:4" customFormat="1" x14ac:dyDescent="0.25">
      <c r="A96" s="5">
        <v>46297</v>
      </c>
      <c r="B96" s="3">
        <v>101</v>
      </c>
      <c r="C96" s="3" t="s">
        <v>42</v>
      </c>
      <c r="D96" s="6">
        <v>465</v>
      </c>
    </row>
    <row r="97" spans="1:4" customFormat="1" x14ac:dyDescent="0.25">
      <c r="A97" s="5">
        <v>46300</v>
      </c>
      <c r="B97" s="3">
        <v>101</v>
      </c>
      <c r="C97" s="3" t="s">
        <v>14</v>
      </c>
      <c r="D97" s="6">
        <v>50949</v>
      </c>
    </row>
    <row r="98" spans="1:4" customFormat="1" x14ac:dyDescent="0.25">
      <c r="A98" s="5">
        <v>46300</v>
      </c>
      <c r="B98" s="3">
        <v>101</v>
      </c>
      <c r="C98" s="3" t="s">
        <v>66</v>
      </c>
      <c r="D98" s="6">
        <v>6135.27</v>
      </c>
    </row>
    <row r="99" spans="1:4" customFormat="1" x14ac:dyDescent="0.25">
      <c r="A99" s="5">
        <v>46300</v>
      </c>
      <c r="B99" s="3">
        <v>101</v>
      </c>
      <c r="C99" s="3" t="s">
        <v>63</v>
      </c>
      <c r="D99" s="6">
        <v>149.96</v>
      </c>
    </row>
    <row r="100" spans="1:4" customFormat="1" x14ac:dyDescent="0.25">
      <c r="A100" s="5">
        <v>46300</v>
      </c>
      <c r="B100" s="3">
        <v>101</v>
      </c>
      <c r="C100" s="3" t="s">
        <v>60</v>
      </c>
      <c r="D100" s="6">
        <v>-4360</v>
      </c>
    </row>
    <row r="101" spans="1:4" customFormat="1" x14ac:dyDescent="0.25">
      <c r="A101" s="5">
        <v>46300</v>
      </c>
      <c r="B101" s="3">
        <v>101</v>
      </c>
      <c r="C101" s="3" t="s">
        <v>60</v>
      </c>
      <c r="D101" s="6">
        <v>4360</v>
      </c>
    </row>
    <row r="102" spans="1:4" customFormat="1" x14ac:dyDescent="0.25">
      <c r="A102" s="5">
        <v>46300</v>
      </c>
      <c r="B102" s="3">
        <v>101</v>
      </c>
      <c r="C102" s="3" t="s">
        <v>17</v>
      </c>
      <c r="D102" s="6">
        <v>6176.5</v>
      </c>
    </row>
    <row r="103" spans="1:4" customFormat="1" x14ac:dyDescent="0.25">
      <c r="A103" s="5">
        <v>46300</v>
      </c>
      <c r="B103" s="3">
        <v>101</v>
      </c>
      <c r="C103" s="3" t="s">
        <v>16</v>
      </c>
      <c r="D103" s="6">
        <v>-62.05</v>
      </c>
    </row>
    <row r="104" spans="1:4" customFormat="1" x14ac:dyDescent="0.25">
      <c r="A104" s="5">
        <v>46300</v>
      </c>
      <c r="B104" s="3">
        <v>101</v>
      </c>
      <c r="C104" s="3" t="s">
        <v>65</v>
      </c>
      <c r="D104" s="6">
        <v>23280</v>
      </c>
    </row>
    <row r="105" spans="1:4" customFormat="1" x14ac:dyDescent="0.25">
      <c r="A105" s="5">
        <v>46300</v>
      </c>
      <c r="B105" s="3">
        <v>101</v>
      </c>
      <c r="C105" s="3" t="s">
        <v>41</v>
      </c>
      <c r="D105" s="6">
        <v>-3080</v>
      </c>
    </row>
    <row r="106" spans="1:4" customFormat="1" x14ac:dyDescent="0.25">
      <c r="A106" s="5">
        <v>46300</v>
      </c>
      <c r="B106" s="3">
        <v>101</v>
      </c>
      <c r="C106" s="3" t="s">
        <v>67</v>
      </c>
      <c r="D106" s="6">
        <v>3975.73</v>
      </c>
    </row>
    <row r="107" spans="1:4" customFormat="1" x14ac:dyDescent="0.25">
      <c r="A107" s="5">
        <v>46300</v>
      </c>
      <c r="B107" s="3">
        <v>101</v>
      </c>
      <c r="C107" s="3" t="s">
        <v>50</v>
      </c>
      <c r="D107" s="6">
        <v>4631.84</v>
      </c>
    </row>
    <row r="108" spans="1:4" customFormat="1" x14ac:dyDescent="0.25">
      <c r="A108" s="5">
        <v>46300</v>
      </c>
      <c r="B108" s="3">
        <v>101</v>
      </c>
      <c r="C108" s="3" t="s">
        <v>11</v>
      </c>
      <c r="D108" s="6">
        <v>1758.44</v>
      </c>
    </row>
    <row r="109" spans="1:4" customFormat="1" x14ac:dyDescent="0.25">
      <c r="A109" s="5">
        <v>46300</v>
      </c>
      <c r="B109" s="3">
        <v>101</v>
      </c>
      <c r="C109" s="3" t="s">
        <v>62</v>
      </c>
      <c r="D109" s="6">
        <v>1638.16</v>
      </c>
    </row>
    <row r="110" spans="1:4" customFormat="1" x14ac:dyDescent="0.25">
      <c r="A110" s="5">
        <v>46300</v>
      </c>
      <c r="B110" s="3">
        <v>101</v>
      </c>
      <c r="C110" s="3" t="s">
        <v>19</v>
      </c>
      <c r="D110" s="6">
        <v>12354</v>
      </c>
    </row>
    <row r="111" spans="1:4" customFormat="1" x14ac:dyDescent="0.25">
      <c r="A111" s="5">
        <v>46300</v>
      </c>
      <c r="B111" s="3">
        <v>101</v>
      </c>
      <c r="C111" s="3" t="s">
        <v>32</v>
      </c>
      <c r="D111" s="6">
        <v>15313.4</v>
      </c>
    </row>
    <row r="112" spans="1:4" customFormat="1" x14ac:dyDescent="0.25">
      <c r="A112" s="5">
        <v>46300</v>
      </c>
      <c r="B112" s="3">
        <v>101</v>
      </c>
      <c r="C112" s="3" t="s">
        <v>32</v>
      </c>
      <c r="D112" s="6">
        <v>1014.73</v>
      </c>
    </row>
    <row r="113" spans="1:4" customFormat="1" x14ac:dyDescent="0.25">
      <c r="A113" s="5">
        <v>46300</v>
      </c>
      <c r="B113" s="3">
        <v>101</v>
      </c>
      <c r="C113" s="3" t="s">
        <v>49</v>
      </c>
      <c r="D113" s="6">
        <v>97082.83</v>
      </c>
    </row>
    <row r="114" spans="1:4" customFormat="1" x14ac:dyDescent="0.25">
      <c r="A114" s="5">
        <v>46300</v>
      </c>
      <c r="B114" s="3">
        <v>101</v>
      </c>
      <c r="C114" s="3" t="s">
        <v>64</v>
      </c>
      <c r="D114" s="6">
        <v>1098.74</v>
      </c>
    </row>
    <row r="115" spans="1:4" customFormat="1" x14ac:dyDescent="0.25">
      <c r="A115" s="5">
        <v>46300</v>
      </c>
      <c r="B115" s="3">
        <v>101</v>
      </c>
      <c r="C115" s="3" t="s">
        <v>4</v>
      </c>
      <c r="D115" s="6">
        <v>47960</v>
      </c>
    </row>
    <row r="116" spans="1:4" customFormat="1" x14ac:dyDescent="0.25">
      <c r="A116" s="5">
        <v>46300</v>
      </c>
      <c r="B116" s="3">
        <v>101</v>
      </c>
      <c r="C116" s="3" t="s">
        <v>4</v>
      </c>
      <c r="D116" s="6">
        <v>1312.36</v>
      </c>
    </row>
    <row r="117" spans="1:4" customFormat="1" x14ac:dyDescent="0.25">
      <c r="A117" s="5">
        <v>46301</v>
      </c>
      <c r="B117" s="3">
        <v>101</v>
      </c>
      <c r="C117" s="3" t="s">
        <v>10</v>
      </c>
      <c r="D117" s="6">
        <v>11285.83</v>
      </c>
    </row>
    <row r="118" spans="1:4" customFormat="1" x14ac:dyDescent="0.25">
      <c r="A118" s="5">
        <v>46301</v>
      </c>
      <c r="B118" s="3">
        <v>101</v>
      </c>
      <c r="C118" s="3" t="s">
        <v>68</v>
      </c>
      <c r="D118" s="6">
        <v>-2577.9</v>
      </c>
    </row>
    <row r="119" spans="1:4" customFormat="1" x14ac:dyDescent="0.25">
      <c r="A119" s="5">
        <v>46301</v>
      </c>
      <c r="B119" s="3">
        <v>101</v>
      </c>
      <c r="C119" s="3" t="s">
        <v>68</v>
      </c>
      <c r="D119" s="6">
        <v>2577.9</v>
      </c>
    </row>
    <row r="120" spans="1:4" customFormat="1" x14ac:dyDescent="0.25">
      <c r="A120" s="5">
        <v>46301</v>
      </c>
      <c r="B120" s="3">
        <v>101</v>
      </c>
      <c r="C120" s="3" t="s">
        <v>34</v>
      </c>
      <c r="D120" s="6">
        <v>-10618</v>
      </c>
    </row>
    <row r="121" spans="1:4" customFormat="1" x14ac:dyDescent="0.25">
      <c r="A121" s="5">
        <v>46301</v>
      </c>
      <c r="B121" s="3">
        <v>101</v>
      </c>
      <c r="C121" s="3" t="s">
        <v>17</v>
      </c>
      <c r="D121" s="6">
        <v>47646.34</v>
      </c>
    </row>
    <row r="122" spans="1:4" customFormat="1" x14ac:dyDescent="0.25">
      <c r="A122" s="5">
        <v>46301</v>
      </c>
      <c r="B122" s="3">
        <v>101</v>
      </c>
      <c r="C122" s="3" t="s">
        <v>16</v>
      </c>
      <c r="D122" s="6">
        <v>33349.51</v>
      </c>
    </row>
    <row r="123" spans="1:4" customFormat="1" x14ac:dyDescent="0.25">
      <c r="A123" s="5">
        <v>46301</v>
      </c>
      <c r="B123" s="3">
        <v>101</v>
      </c>
      <c r="C123" s="3" t="s">
        <v>65</v>
      </c>
      <c r="D123" s="6">
        <v>5645.4</v>
      </c>
    </row>
    <row r="124" spans="1:4" customFormat="1" x14ac:dyDescent="0.25">
      <c r="A124" s="5">
        <v>46301</v>
      </c>
      <c r="B124" s="3">
        <v>101</v>
      </c>
      <c r="C124" s="3" t="s">
        <v>69</v>
      </c>
      <c r="D124" s="6">
        <v>552.76</v>
      </c>
    </row>
    <row r="125" spans="1:4" customFormat="1" ht="30" x14ac:dyDescent="0.25">
      <c r="A125" s="5">
        <v>46301</v>
      </c>
      <c r="B125" s="3">
        <v>101</v>
      </c>
      <c r="C125" s="3" t="s">
        <v>38</v>
      </c>
      <c r="D125" s="6">
        <v>534</v>
      </c>
    </row>
    <row r="126" spans="1:4" customFormat="1" x14ac:dyDescent="0.25">
      <c r="A126" s="5">
        <v>46301</v>
      </c>
      <c r="B126" s="3">
        <v>101</v>
      </c>
      <c r="C126" s="3" t="s">
        <v>41</v>
      </c>
      <c r="D126" s="6">
        <v>2772</v>
      </c>
    </row>
    <row r="127" spans="1:4" customFormat="1" x14ac:dyDescent="0.25">
      <c r="A127" s="5">
        <v>46301</v>
      </c>
      <c r="B127" s="3">
        <v>101</v>
      </c>
      <c r="C127" s="3" t="s">
        <v>71</v>
      </c>
      <c r="D127" s="6">
        <v>71313.8</v>
      </c>
    </row>
    <row r="128" spans="1:4" customFormat="1" x14ac:dyDescent="0.25">
      <c r="A128" s="5">
        <v>46301</v>
      </c>
      <c r="B128" s="3">
        <v>101</v>
      </c>
      <c r="C128" s="3" t="s">
        <v>19</v>
      </c>
      <c r="D128" s="6">
        <v>13168.92</v>
      </c>
    </row>
    <row r="129" spans="1:4" customFormat="1" x14ac:dyDescent="0.25">
      <c r="A129" s="5">
        <v>46301</v>
      </c>
      <c r="B129" s="3">
        <v>101</v>
      </c>
      <c r="C129" s="3" t="s">
        <v>19</v>
      </c>
      <c r="D129" s="6">
        <v>4059.8</v>
      </c>
    </row>
    <row r="130" spans="1:4" customFormat="1" x14ac:dyDescent="0.25">
      <c r="A130" s="5">
        <v>46301</v>
      </c>
      <c r="B130" s="3">
        <v>101</v>
      </c>
      <c r="C130" s="3" t="s">
        <v>7</v>
      </c>
      <c r="D130" s="6">
        <v>161.85</v>
      </c>
    </row>
    <row r="131" spans="1:4" customFormat="1" x14ac:dyDescent="0.25">
      <c r="A131" s="5">
        <v>46301</v>
      </c>
      <c r="B131" s="3">
        <v>101</v>
      </c>
      <c r="C131" s="3" t="s">
        <v>72</v>
      </c>
      <c r="D131" s="6">
        <v>188000</v>
      </c>
    </row>
    <row r="132" spans="1:4" customFormat="1" x14ac:dyDescent="0.25">
      <c r="A132" s="5">
        <v>46301</v>
      </c>
      <c r="B132" s="3">
        <v>101</v>
      </c>
      <c r="C132" s="3" t="s">
        <v>4</v>
      </c>
      <c r="D132" s="6">
        <v>21595.46</v>
      </c>
    </row>
    <row r="133" spans="1:4" customFormat="1" x14ac:dyDescent="0.25">
      <c r="A133" s="5">
        <v>46301</v>
      </c>
      <c r="B133" s="3">
        <v>101</v>
      </c>
      <c r="C133" s="3" t="s">
        <v>4</v>
      </c>
      <c r="D133" s="6">
        <v>4999.8100000000004</v>
      </c>
    </row>
    <row r="134" spans="1:4" customFormat="1" x14ac:dyDescent="0.25">
      <c r="A134" s="5">
        <v>46301</v>
      </c>
      <c r="B134" s="3">
        <v>101</v>
      </c>
      <c r="C134" s="3" t="s">
        <v>4</v>
      </c>
      <c r="D134" s="6">
        <v>-2247.5</v>
      </c>
    </row>
    <row r="135" spans="1:4" customFormat="1" x14ac:dyDescent="0.25">
      <c r="A135" s="5">
        <v>46301</v>
      </c>
      <c r="B135" s="3">
        <v>101</v>
      </c>
      <c r="C135" s="3" t="s">
        <v>4</v>
      </c>
      <c r="D135" s="6">
        <v>2662.78</v>
      </c>
    </row>
    <row r="136" spans="1:4" customFormat="1" x14ac:dyDescent="0.25">
      <c r="A136" s="5">
        <v>46301</v>
      </c>
      <c r="B136" s="3">
        <v>101</v>
      </c>
      <c r="C136" s="3" t="s">
        <v>70</v>
      </c>
      <c r="D136" s="6">
        <v>4080</v>
      </c>
    </row>
    <row r="137" spans="1:4" customFormat="1" x14ac:dyDescent="0.25">
      <c r="A137" s="5">
        <v>46302</v>
      </c>
      <c r="B137" s="3">
        <v>101</v>
      </c>
      <c r="C137" s="3" t="s">
        <v>80</v>
      </c>
      <c r="D137" s="6">
        <v>490</v>
      </c>
    </row>
    <row r="138" spans="1:4" customFormat="1" x14ac:dyDescent="0.25">
      <c r="A138" s="5">
        <v>46302</v>
      </c>
      <c r="B138" s="3">
        <v>101</v>
      </c>
      <c r="C138" s="3" t="s">
        <v>6</v>
      </c>
      <c r="D138" s="6">
        <v>6861.3</v>
      </c>
    </row>
    <row r="139" spans="1:4" customFormat="1" x14ac:dyDescent="0.25">
      <c r="A139" s="5">
        <v>46302</v>
      </c>
      <c r="B139" s="3">
        <v>101</v>
      </c>
      <c r="C139" s="3" t="s">
        <v>17</v>
      </c>
      <c r="D139" s="6">
        <v>-12949.2</v>
      </c>
    </row>
    <row r="140" spans="1:4" customFormat="1" x14ac:dyDescent="0.25">
      <c r="A140" s="5">
        <v>46302</v>
      </c>
      <c r="B140" s="3">
        <v>101</v>
      </c>
      <c r="C140" s="3" t="s">
        <v>81</v>
      </c>
      <c r="D140" s="6">
        <v>4200</v>
      </c>
    </row>
    <row r="141" spans="1:4" customFormat="1" x14ac:dyDescent="0.25">
      <c r="A141" s="5">
        <v>46302</v>
      </c>
      <c r="B141" s="3">
        <v>101</v>
      </c>
      <c r="C141" s="3" t="s">
        <v>16</v>
      </c>
      <c r="D141" s="6">
        <v>83048.800000000003</v>
      </c>
    </row>
    <row r="142" spans="1:4" customFormat="1" x14ac:dyDescent="0.25">
      <c r="A142" s="5">
        <v>46302</v>
      </c>
      <c r="B142" s="3">
        <v>101</v>
      </c>
      <c r="C142" s="3" t="s">
        <v>44</v>
      </c>
      <c r="D142" s="6">
        <v>15362.76</v>
      </c>
    </row>
    <row r="143" spans="1:4" customFormat="1" x14ac:dyDescent="0.25">
      <c r="A143" s="5">
        <v>46302</v>
      </c>
      <c r="B143" s="3">
        <v>101</v>
      </c>
      <c r="C143" s="3" t="s">
        <v>82</v>
      </c>
      <c r="D143" s="6">
        <v>1118.3900000000001</v>
      </c>
    </row>
    <row r="144" spans="1:4" customFormat="1" x14ac:dyDescent="0.25">
      <c r="A144" s="5">
        <v>46302</v>
      </c>
      <c r="B144" s="3">
        <v>101</v>
      </c>
      <c r="C144" s="3" t="s">
        <v>9</v>
      </c>
      <c r="D144" s="6">
        <v>26594.7</v>
      </c>
    </row>
    <row r="145" spans="1:4" customFormat="1" x14ac:dyDescent="0.25">
      <c r="A145" s="5">
        <v>46302</v>
      </c>
      <c r="B145" s="3">
        <v>101</v>
      </c>
      <c r="C145" s="3" t="s">
        <v>83</v>
      </c>
      <c r="D145" s="6">
        <v>1345.45</v>
      </c>
    </row>
    <row r="146" spans="1:4" customFormat="1" x14ac:dyDescent="0.25">
      <c r="A146" s="5">
        <v>46302</v>
      </c>
      <c r="B146" s="3">
        <v>101</v>
      </c>
      <c r="C146" s="3" t="s">
        <v>1</v>
      </c>
      <c r="D146" s="6">
        <v>15686.43</v>
      </c>
    </row>
    <row r="147" spans="1:4" customFormat="1" x14ac:dyDescent="0.25">
      <c r="A147" s="5">
        <v>46302</v>
      </c>
      <c r="B147" s="3">
        <v>101</v>
      </c>
      <c r="C147" s="3" t="s">
        <v>84</v>
      </c>
      <c r="D147" s="6">
        <v>1845.26</v>
      </c>
    </row>
    <row r="148" spans="1:4" customFormat="1" x14ac:dyDescent="0.25">
      <c r="A148" s="5">
        <v>46302</v>
      </c>
      <c r="B148" s="3">
        <v>101</v>
      </c>
      <c r="C148" s="3" t="s">
        <v>21</v>
      </c>
      <c r="D148" s="6">
        <v>346.48</v>
      </c>
    </row>
    <row r="149" spans="1:4" customFormat="1" x14ac:dyDescent="0.25">
      <c r="A149" s="5">
        <v>46302</v>
      </c>
      <c r="B149" s="3">
        <v>101</v>
      </c>
      <c r="C149" s="3" t="s">
        <v>85</v>
      </c>
      <c r="D149" s="6">
        <v>67738.48</v>
      </c>
    </row>
    <row r="150" spans="1:4" customFormat="1" x14ac:dyDescent="0.25">
      <c r="A150" s="5">
        <v>46302</v>
      </c>
      <c r="B150" s="3">
        <v>101</v>
      </c>
      <c r="C150" s="3" t="s">
        <v>18</v>
      </c>
      <c r="D150" s="6">
        <v>3817.53</v>
      </c>
    </row>
    <row r="151" spans="1:4" customFormat="1" x14ac:dyDescent="0.25">
      <c r="A151" s="5">
        <v>46302</v>
      </c>
      <c r="B151" s="3">
        <v>101</v>
      </c>
      <c r="C151" s="3" t="s">
        <v>18</v>
      </c>
      <c r="D151" s="6">
        <v>1037.76</v>
      </c>
    </row>
    <row r="152" spans="1:4" customFormat="1" x14ac:dyDescent="0.25">
      <c r="A152" s="5">
        <v>46302</v>
      </c>
      <c r="B152" s="3">
        <v>101</v>
      </c>
      <c r="C152" s="3" t="s">
        <v>7</v>
      </c>
      <c r="D152" s="6">
        <v>194.22</v>
      </c>
    </row>
    <row r="153" spans="1:4" customFormat="1" x14ac:dyDescent="0.25">
      <c r="A153" s="5">
        <v>46302</v>
      </c>
      <c r="B153" s="3">
        <v>101</v>
      </c>
      <c r="C153" s="3" t="s">
        <v>86</v>
      </c>
      <c r="D153" s="6">
        <v>2494.92</v>
      </c>
    </row>
    <row r="154" spans="1:4" customFormat="1" x14ac:dyDescent="0.25">
      <c r="A154" s="5">
        <v>46302</v>
      </c>
      <c r="B154" s="3">
        <v>101</v>
      </c>
      <c r="C154" s="3" t="s">
        <v>87</v>
      </c>
      <c r="D154" s="6">
        <v>1527.45</v>
      </c>
    </row>
    <row r="155" spans="1:4" customFormat="1" x14ac:dyDescent="0.25">
      <c r="A155" s="5">
        <v>46302</v>
      </c>
      <c r="B155" s="3">
        <v>101</v>
      </c>
      <c r="C155" s="3" t="s">
        <v>49</v>
      </c>
      <c r="D155" s="6">
        <v>1856.48</v>
      </c>
    </row>
    <row r="156" spans="1:4" customFormat="1" x14ac:dyDescent="0.25">
      <c r="A156" s="5">
        <v>46302</v>
      </c>
      <c r="B156" s="3">
        <v>101</v>
      </c>
      <c r="C156" s="3" t="s">
        <v>2</v>
      </c>
      <c r="D156" s="6">
        <v>40702.5</v>
      </c>
    </row>
    <row r="157" spans="1:4" customFormat="1" x14ac:dyDescent="0.25">
      <c r="A157" s="5">
        <v>46302</v>
      </c>
      <c r="B157" s="3">
        <v>101</v>
      </c>
      <c r="C157" s="3" t="s">
        <v>4</v>
      </c>
      <c r="D157" s="6">
        <v>2339.14</v>
      </c>
    </row>
    <row r="158" spans="1:4" customFormat="1" x14ac:dyDescent="0.25">
      <c r="A158" s="5">
        <v>46302</v>
      </c>
      <c r="B158" s="3">
        <v>101</v>
      </c>
      <c r="C158" s="3" t="s">
        <v>4</v>
      </c>
      <c r="D158" s="6">
        <v>5930.6</v>
      </c>
    </row>
    <row r="159" spans="1:4" customFormat="1" x14ac:dyDescent="0.25">
      <c r="A159" s="5">
        <v>46302</v>
      </c>
      <c r="B159" s="3">
        <v>101</v>
      </c>
      <c r="C159" s="3" t="s">
        <v>4</v>
      </c>
      <c r="D159" s="6">
        <v>19636.3</v>
      </c>
    </row>
    <row r="160" spans="1:4" customFormat="1" x14ac:dyDescent="0.25">
      <c r="A160" s="5">
        <v>46302</v>
      </c>
      <c r="B160" s="3">
        <v>101</v>
      </c>
      <c r="C160" s="3" t="s">
        <v>42</v>
      </c>
      <c r="D160" s="6">
        <v>2466.58</v>
      </c>
    </row>
    <row r="161" spans="1:4" customFormat="1" x14ac:dyDescent="0.25">
      <c r="A161" s="5">
        <v>46303</v>
      </c>
      <c r="B161" s="3">
        <v>101</v>
      </c>
      <c r="C161" s="3" t="s">
        <v>88</v>
      </c>
      <c r="D161" s="6">
        <v>2175.1799999999998</v>
      </c>
    </row>
    <row r="162" spans="1:4" customFormat="1" x14ac:dyDescent="0.25">
      <c r="A162" s="5">
        <v>46303</v>
      </c>
      <c r="B162" s="3">
        <v>101</v>
      </c>
      <c r="C162" s="3" t="s">
        <v>89</v>
      </c>
      <c r="D162" s="6">
        <v>975.15</v>
      </c>
    </row>
    <row r="163" spans="1:4" customFormat="1" x14ac:dyDescent="0.25">
      <c r="A163" s="5">
        <v>46303</v>
      </c>
      <c r="B163" s="3">
        <v>101</v>
      </c>
      <c r="C163" s="3" t="s">
        <v>90</v>
      </c>
      <c r="D163" s="6">
        <v>781.83</v>
      </c>
    </row>
    <row r="164" spans="1:4" customFormat="1" x14ac:dyDescent="0.25">
      <c r="A164" s="5">
        <v>46303</v>
      </c>
      <c r="B164" s="3">
        <v>101</v>
      </c>
      <c r="C164" s="3" t="s">
        <v>91</v>
      </c>
      <c r="D164" s="6">
        <v>799.92</v>
      </c>
    </row>
    <row r="165" spans="1:4" customFormat="1" x14ac:dyDescent="0.25">
      <c r="A165" s="5">
        <v>46303</v>
      </c>
      <c r="B165" s="3">
        <v>101</v>
      </c>
      <c r="C165" s="3" t="s">
        <v>92</v>
      </c>
      <c r="D165" s="6">
        <v>795.63</v>
      </c>
    </row>
    <row r="166" spans="1:4" customFormat="1" x14ac:dyDescent="0.25">
      <c r="A166" s="5">
        <v>46303</v>
      </c>
      <c r="B166" s="3">
        <v>101</v>
      </c>
      <c r="C166" s="3" t="s">
        <v>93</v>
      </c>
      <c r="D166" s="6">
        <v>536.52</v>
      </c>
    </row>
    <row r="167" spans="1:4" customFormat="1" x14ac:dyDescent="0.25">
      <c r="A167" s="5">
        <v>46303</v>
      </c>
      <c r="B167" s="3">
        <v>101</v>
      </c>
      <c r="C167" s="3" t="s">
        <v>45</v>
      </c>
      <c r="D167" s="6">
        <v>2858.4</v>
      </c>
    </row>
    <row r="168" spans="1:4" customFormat="1" x14ac:dyDescent="0.25">
      <c r="A168" s="5">
        <v>46303</v>
      </c>
      <c r="B168" s="3">
        <v>101</v>
      </c>
      <c r="C168" s="3" t="s">
        <v>94</v>
      </c>
      <c r="D168" s="6">
        <v>3420</v>
      </c>
    </row>
    <row r="169" spans="1:4" customFormat="1" x14ac:dyDescent="0.25">
      <c r="A169" s="5">
        <v>46303</v>
      </c>
      <c r="B169" s="3">
        <v>101</v>
      </c>
      <c r="C169" s="3" t="s">
        <v>95</v>
      </c>
      <c r="D169" s="6">
        <v>1399.44</v>
      </c>
    </row>
    <row r="170" spans="1:4" customFormat="1" x14ac:dyDescent="0.25">
      <c r="A170" s="5">
        <v>46303</v>
      </c>
      <c r="B170" s="3">
        <v>101</v>
      </c>
      <c r="C170" s="3" t="s">
        <v>10</v>
      </c>
      <c r="D170" s="6">
        <v>129246.28</v>
      </c>
    </row>
    <row r="171" spans="1:4" customFormat="1" x14ac:dyDescent="0.25">
      <c r="A171" s="5">
        <v>46303</v>
      </c>
      <c r="B171" s="3">
        <v>101</v>
      </c>
      <c r="C171" s="3" t="s">
        <v>20</v>
      </c>
      <c r="D171" s="6">
        <v>4986.8999999999996</v>
      </c>
    </row>
    <row r="172" spans="1:4" customFormat="1" x14ac:dyDescent="0.25">
      <c r="A172" s="5">
        <v>46303</v>
      </c>
      <c r="B172" s="3">
        <v>101</v>
      </c>
      <c r="C172" s="3" t="s">
        <v>96</v>
      </c>
      <c r="D172" s="6">
        <v>2569.75</v>
      </c>
    </row>
    <row r="173" spans="1:4" customFormat="1" x14ac:dyDescent="0.25">
      <c r="A173" s="5">
        <v>46303</v>
      </c>
      <c r="B173" s="3">
        <v>101</v>
      </c>
      <c r="C173" s="3" t="s">
        <v>28</v>
      </c>
      <c r="D173" s="6">
        <v>15250.29</v>
      </c>
    </row>
    <row r="174" spans="1:4" customFormat="1" x14ac:dyDescent="0.25">
      <c r="A174" s="5">
        <v>46303</v>
      </c>
      <c r="B174" s="3">
        <v>101</v>
      </c>
      <c r="C174" s="3" t="s">
        <v>97</v>
      </c>
      <c r="D174" s="6">
        <v>1192.51</v>
      </c>
    </row>
    <row r="175" spans="1:4" customFormat="1" x14ac:dyDescent="0.25">
      <c r="A175" s="5">
        <v>46303</v>
      </c>
      <c r="B175" s="3">
        <v>101</v>
      </c>
      <c r="C175" s="3" t="s">
        <v>98</v>
      </c>
      <c r="D175" s="6">
        <v>7149.55</v>
      </c>
    </row>
    <row r="176" spans="1:4" customFormat="1" x14ac:dyDescent="0.25">
      <c r="A176" s="5">
        <v>46303</v>
      </c>
      <c r="B176" s="3">
        <v>101</v>
      </c>
      <c r="C176" s="3" t="s">
        <v>99</v>
      </c>
      <c r="D176" s="6">
        <v>964.8</v>
      </c>
    </row>
    <row r="177" spans="1:4" customFormat="1" x14ac:dyDescent="0.25">
      <c r="A177" s="5">
        <v>46303</v>
      </c>
      <c r="B177" s="3">
        <v>101</v>
      </c>
      <c r="C177" s="3" t="s">
        <v>100</v>
      </c>
      <c r="D177" s="6">
        <v>815.6</v>
      </c>
    </row>
    <row r="178" spans="1:4" customFormat="1" x14ac:dyDescent="0.25">
      <c r="A178" s="5">
        <v>46303</v>
      </c>
      <c r="B178" s="3">
        <v>101</v>
      </c>
      <c r="C178" s="3" t="s">
        <v>16</v>
      </c>
      <c r="D178" s="6">
        <v>34.14</v>
      </c>
    </row>
    <row r="179" spans="1:4" customFormat="1" x14ac:dyDescent="0.25">
      <c r="A179" s="5">
        <v>46303</v>
      </c>
      <c r="B179" s="3">
        <v>101</v>
      </c>
      <c r="C179" s="3" t="s">
        <v>101</v>
      </c>
      <c r="D179" s="6">
        <v>3402.45</v>
      </c>
    </row>
    <row r="180" spans="1:4" customFormat="1" x14ac:dyDescent="0.25">
      <c r="A180" s="5">
        <v>46303</v>
      </c>
      <c r="B180" s="3">
        <v>101</v>
      </c>
      <c r="C180" s="3" t="s">
        <v>69</v>
      </c>
      <c r="D180" s="6">
        <v>73279.55</v>
      </c>
    </row>
    <row r="181" spans="1:4" customFormat="1" x14ac:dyDescent="0.25">
      <c r="A181" s="5">
        <v>46303</v>
      </c>
      <c r="B181" s="3">
        <v>101</v>
      </c>
      <c r="C181" s="3" t="s">
        <v>41</v>
      </c>
      <c r="D181" s="6">
        <v>32405.72</v>
      </c>
    </row>
    <row r="182" spans="1:4" customFormat="1" x14ac:dyDescent="0.25">
      <c r="A182" s="5">
        <v>46303</v>
      </c>
      <c r="B182" s="3">
        <v>101</v>
      </c>
      <c r="C182" s="3" t="s">
        <v>102</v>
      </c>
      <c r="D182" s="6">
        <v>5400</v>
      </c>
    </row>
    <row r="183" spans="1:4" customFormat="1" x14ac:dyDescent="0.25">
      <c r="A183" s="5">
        <v>46303</v>
      </c>
      <c r="B183" s="3">
        <v>101</v>
      </c>
      <c r="C183" s="3" t="s">
        <v>1</v>
      </c>
      <c r="D183" s="6">
        <v>46400</v>
      </c>
    </row>
    <row r="184" spans="1:4" customFormat="1" x14ac:dyDescent="0.25">
      <c r="A184" s="5">
        <v>46303</v>
      </c>
      <c r="B184" s="3">
        <v>101</v>
      </c>
      <c r="C184" s="3" t="s">
        <v>103</v>
      </c>
      <c r="D184" s="6">
        <v>495.54</v>
      </c>
    </row>
    <row r="185" spans="1:4" customFormat="1" x14ac:dyDescent="0.25">
      <c r="A185" s="5">
        <v>46303</v>
      </c>
      <c r="B185" s="3">
        <v>101</v>
      </c>
      <c r="C185" s="3" t="s">
        <v>104</v>
      </c>
      <c r="D185" s="6">
        <v>576</v>
      </c>
    </row>
    <row r="186" spans="1:4" customFormat="1" x14ac:dyDescent="0.25">
      <c r="A186" s="5">
        <v>46303</v>
      </c>
      <c r="B186" s="3">
        <v>101</v>
      </c>
      <c r="C186" s="3" t="s">
        <v>24</v>
      </c>
      <c r="D186" s="6">
        <v>2114</v>
      </c>
    </row>
    <row r="187" spans="1:4" customFormat="1" x14ac:dyDescent="0.25">
      <c r="A187" s="5">
        <v>46303</v>
      </c>
      <c r="B187" s="3">
        <v>101</v>
      </c>
      <c r="C187" s="3" t="s">
        <v>105</v>
      </c>
      <c r="D187" s="6">
        <v>2721.4</v>
      </c>
    </row>
    <row r="188" spans="1:4" customFormat="1" x14ac:dyDescent="0.25">
      <c r="A188" s="5">
        <v>46303</v>
      </c>
      <c r="B188" s="3">
        <v>101</v>
      </c>
      <c r="C188" s="3" t="s">
        <v>11</v>
      </c>
      <c r="D188" s="6">
        <v>18832.75</v>
      </c>
    </row>
    <row r="189" spans="1:4" customFormat="1" x14ac:dyDescent="0.25">
      <c r="A189" s="5">
        <v>46303</v>
      </c>
      <c r="B189" s="3">
        <v>101</v>
      </c>
      <c r="C189" s="3" t="s">
        <v>11</v>
      </c>
      <c r="D189" s="6">
        <v>603.84</v>
      </c>
    </row>
    <row r="190" spans="1:4" customFormat="1" x14ac:dyDescent="0.25">
      <c r="A190" s="5">
        <v>46303</v>
      </c>
      <c r="B190" s="3">
        <v>101</v>
      </c>
      <c r="C190" s="3" t="s">
        <v>21</v>
      </c>
      <c r="D190" s="6">
        <v>6579.82</v>
      </c>
    </row>
    <row r="191" spans="1:4" customFormat="1" x14ac:dyDescent="0.25">
      <c r="A191" s="5">
        <v>46303</v>
      </c>
      <c r="B191" s="3">
        <v>101</v>
      </c>
      <c r="C191" s="3" t="s">
        <v>106</v>
      </c>
      <c r="D191" s="6">
        <v>3189</v>
      </c>
    </row>
    <row r="192" spans="1:4" customFormat="1" x14ac:dyDescent="0.25">
      <c r="A192" s="5">
        <v>46303</v>
      </c>
      <c r="B192" s="3">
        <v>101</v>
      </c>
      <c r="C192" s="3" t="s">
        <v>107</v>
      </c>
      <c r="D192" s="6">
        <v>2649.41</v>
      </c>
    </row>
    <row r="193" spans="1:4" customFormat="1" x14ac:dyDescent="0.25">
      <c r="A193" s="5">
        <v>46303</v>
      </c>
      <c r="B193" s="3">
        <v>101</v>
      </c>
      <c r="C193" s="3" t="s">
        <v>108</v>
      </c>
      <c r="D193" s="6">
        <v>3125.5</v>
      </c>
    </row>
    <row r="194" spans="1:4" customFormat="1" x14ac:dyDescent="0.25">
      <c r="A194" s="5">
        <v>46303</v>
      </c>
      <c r="B194" s="3">
        <v>101</v>
      </c>
      <c r="C194" s="3" t="s">
        <v>109</v>
      </c>
      <c r="D194" s="6">
        <v>917.21</v>
      </c>
    </row>
    <row r="195" spans="1:4" customFormat="1" x14ac:dyDescent="0.25">
      <c r="A195" s="5">
        <v>46303</v>
      </c>
      <c r="B195" s="3">
        <v>101</v>
      </c>
      <c r="C195" s="3" t="s">
        <v>22</v>
      </c>
      <c r="D195" s="6">
        <v>1538.01</v>
      </c>
    </row>
    <row r="196" spans="1:4" customFormat="1" x14ac:dyDescent="0.25">
      <c r="A196" s="5">
        <v>46303</v>
      </c>
      <c r="B196" s="3">
        <v>101</v>
      </c>
      <c r="C196" s="3" t="s">
        <v>110</v>
      </c>
      <c r="D196" s="6">
        <v>4592.87</v>
      </c>
    </row>
    <row r="197" spans="1:4" customFormat="1" x14ac:dyDescent="0.25">
      <c r="A197" s="5">
        <v>46303</v>
      </c>
      <c r="B197" s="3">
        <v>101</v>
      </c>
      <c r="C197" s="3" t="s">
        <v>29</v>
      </c>
      <c r="D197" s="6">
        <v>30502.6</v>
      </c>
    </row>
    <row r="198" spans="1:4" customFormat="1" x14ac:dyDescent="0.25">
      <c r="A198" s="5">
        <v>46303</v>
      </c>
      <c r="B198" s="3">
        <v>101</v>
      </c>
      <c r="C198" s="3" t="s">
        <v>111</v>
      </c>
      <c r="D198" s="6">
        <v>1985.12</v>
      </c>
    </row>
    <row r="199" spans="1:4" customFormat="1" x14ac:dyDescent="0.25">
      <c r="A199" s="5">
        <v>46303</v>
      </c>
      <c r="B199" s="3">
        <v>101</v>
      </c>
      <c r="C199" s="3" t="s">
        <v>18</v>
      </c>
      <c r="D199" s="6">
        <v>1484.3</v>
      </c>
    </row>
    <row r="200" spans="1:4" customFormat="1" x14ac:dyDescent="0.25">
      <c r="A200" s="5">
        <v>46303</v>
      </c>
      <c r="B200" s="3">
        <v>101</v>
      </c>
      <c r="C200" s="3" t="s">
        <v>18</v>
      </c>
      <c r="D200" s="6">
        <v>980.75</v>
      </c>
    </row>
    <row r="201" spans="1:4" customFormat="1" x14ac:dyDescent="0.25">
      <c r="A201" s="5">
        <v>46303</v>
      </c>
      <c r="B201" s="3">
        <v>101</v>
      </c>
      <c r="C201" s="3" t="s">
        <v>18</v>
      </c>
      <c r="D201" s="6">
        <v>2157.64</v>
      </c>
    </row>
    <row r="202" spans="1:4" customFormat="1" x14ac:dyDescent="0.25">
      <c r="A202" s="5">
        <v>46303</v>
      </c>
      <c r="B202" s="3">
        <v>101</v>
      </c>
      <c r="C202" s="3" t="s">
        <v>18</v>
      </c>
      <c r="D202" s="6">
        <v>6608.45</v>
      </c>
    </row>
    <row r="203" spans="1:4" customFormat="1" x14ac:dyDescent="0.25">
      <c r="A203" s="5">
        <v>46303</v>
      </c>
      <c r="B203" s="3">
        <v>101</v>
      </c>
      <c r="C203" s="3" t="s">
        <v>18</v>
      </c>
      <c r="D203" s="6">
        <v>729.5</v>
      </c>
    </row>
    <row r="204" spans="1:4" customFormat="1" x14ac:dyDescent="0.25">
      <c r="A204" s="5">
        <v>46303</v>
      </c>
      <c r="B204" s="3">
        <v>101</v>
      </c>
      <c r="C204" s="3" t="s">
        <v>18</v>
      </c>
      <c r="D204" s="6">
        <v>2525.8000000000002</v>
      </c>
    </row>
    <row r="205" spans="1:4" customFormat="1" x14ac:dyDescent="0.25">
      <c r="A205" s="5">
        <v>46303</v>
      </c>
      <c r="B205" s="3">
        <v>101</v>
      </c>
      <c r="C205" s="3" t="s">
        <v>112</v>
      </c>
      <c r="D205" s="6">
        <v>1549.9</v>
      </c>
    </row>
    <row r="206" spans="1:4" customFormat="1" x14ac:dyDescent="0.25">
      <c r="A206" s="5">
        <v>46303</v>
      </c>
      <c r="B206" s="3">
        <v>101</v>
      </c>
      <c r="C206" s="3" t="s">
        <v>32</v>
      </c>
      <c r="D206" s="6">
        <v>562.20000000000005</v>
      </c>
    </row>
    <row r="207" spans="1:4" customFormat="1" x14ac:dyDescent="0.25">
      <c r="A207" s="5">
        <v>46303</v>
      </c>
      <c r="B207" s="3">
        <v>101</v>
      </c>
      <c r="C207" s="3" t="s">
        <v>113</v>
      </c>
      <c r="D207" s="6">
        <v>5590.1</v>
      </c>
    </row>
    <row r="208" spans="1:4" customFormat="1" x14ac:dyDescent="0.25">
      <c r="A208" s="5">
        <v>46303</v>
      </c>
      <c r="B208" s="3">
        <v>101</v>
      </c>
      <c r="C208" s="3" t="s">
        <v>49</v>
      </c>
      <c r="D208" s="6">
        <v>25103.75</v>
      </c>
    </row>
    <row r="209" spans="1:4" customFormat="1" x14ac:dyDescent="0.25">
      <c r="A209" s="5">
        <v>46303</v>
      </c>
      <c r="B209" s="3">
        <v>101</v>
      </c>
      <c r="C209" s="3" t="s">
        <v>114</v>
      </c>
      <c r="D209" s="6">
        <v>1268.7</v>
      </c>
    </row>
    <row r="210" spans="1:4" customFormat="1" x14ac:dyDescent="0.25">
      <c r="A210" s="5">
        <v>46303</v>
      </c>
      <c r="B210" s="3">
        <v>101</v>
      </c>
      <c r="C210" s="3" t="s">
        <v>115</v>
      </c>
      <c r="D210" s="6">
        <v>1142.56</v>
      </c>
    </row>
    <row r="211" spans="1:4" customFormat="1" x14ac:dyDescent="0.25">
      <c r="A211" s="5">
        <v>46303</v>
      </c>
      <c r="B211" s="3">
        <v>101</v>
      </c>
      <c r="C211" s="3" t="s">
        <v>116</v>
      </c>
      <c r="D211" s="6">
        <v>759.68</v>
      </c>
    </row>
    <row r="212" spans="1:4" customFormat="1" x14ac:dyDescent="0.25">
      <c r="A212" s="5">
        <v>46303</v>
      </c>
      <c r="B212" s="3">
        <v>101</v>
      </c>
      <c r="C212" s="3" t="s">
        <v>48</v>
      </c>
      <c r="D212" s="6">
        <v>6970.5</v>
      </c>
    </row>
    <row r="213" spans="1:4" customFormat="1" x14ac:dyDescent="0.25">
      <c r="A213" s="5">
        <v>46303</v>
      </c>
      <c r="B213" s="3">
        <v>101</v>
      </c>
      <c r="C213" s="3" t="s">
        <v>48</v>
      </c>
      <c r="D213" s="6">
        <v>2969.05</v>
      </c>
    </row>
    <row r="214" spans="1:4" customFormat="1" x14ac:dyDescent="0.25">
      <c r="A214" s="5">
        <v>46303</v>
      </c>
      <c r="B214" s="3">
        <v>101</v>
      </c>
      <c r="C214" s="3" t="s">
        <v>117</v>
      </c>
      <c r="D214" s="6">
        <v>2262</v>
      </c>
    </row>
    <row r="215" spans="1:4" customFormat="1" x14ac:dyDescent="0.25">
      <c r="A215" s="5">
        <v>46303</v>
      </c>
      <c r="B215" s="3">
        <v>101</v>
      </c>
      <c r="C215" s="3" t="s">
        <v>118</v>
      </c>
      <c r="D215" s="6">
        <v>2016</v>
      </c>
    </row>
    <row r="216" spans="1:4" customFormat="1" x14ac:dyDescent="0.25">
      <c r="A216" s="5">
        <v>46303</v>
      </c>
      <c r="B216" s="3">
        <v>101</v>
      </c>
      <c r="C216" s="3" t="s">
        <v>43</v>
      </c>
      <c r="D216" s="6">
        <v>10170.07</v>
      </c>
    </row>
    <row r="217" spans="1:4" customFormat="1" x14ac:dyDescent="0.25">
      <c r="A217" s="5">
        <v>46303</v>
      </c>
      <c r="B217" s="3">
        <v>101</v>
      </c>
      <c r="C217" s="3" t="s">
        <v>43</v>
      </c>
      <c r="D217" s="6">
        <v>11536.09</v>
      </c>
    </row>
    <row r="218" spans="1:4" customFormat="1" x14ac:dyDescent="0.25">
      <c r="A218" s="5">
        <v>46303</v>
      </c>
      <c r="B218" s="3">
        <v>101</v>
      </c>
      <c r="C218" s="3" t="s">
        <v>119</v>
      </c>
      <c r="D218" s="6">
        <v>7650</v>
      </c>
    </row>
    <row r="219" spans="1:4" customFormat="1" x14ac:dyDescent="0.25">
      <c r="A219" s="5">
        <v>46303</v>
      </c>
      <c r="B219" s="3">
        <v>101</v>
      </c>
      <c r="C219" s="3" t="s">
        <v>5</v>
      </c>
      <c r="D219" s="6">
        <v>8832</v>
      </c>
    </row>
    <row r="220" spans="1:4" customFormat="1" x14ac:dyDescent="0.25">
      <c r="A220" s="5">
        <v>46303</v>
      </c>
      <c r="B220" s="3">
        <v>101</v>
      </c>
      <c r="C220" s="3" t="s">
        <v>4</v>
      </c>
      <c r="D220" s="6">
        <v>2627.81</v>
      </c>
    </row>
    <row r="221" spans="1:4" customFormat="1" x14ac:dyDescent="0.25">
      <c r="A221" s="5">
        <v>46303</v>
      </c>
      <c r="B221" s="3">
        <v>101</v>
      </c>
      <c r="C221" s="3" t="s">
        <v>4</v>
      </c>
      <c r="D221" s="6">
        <v>40646.42</v>
      </c>
    </row>
    <row r="222" spans="1:4" customFormat="1" x14ac:dyDescent="0.25">
      <c r="A222" s="5">
        <v>46303</v>
      </c>
      <c r="B222" s="3">
        <v>101</v>
      </c>
      <c r="C222" s="3" t="s">
        <v>4</v>
      </c>
      <c r="D222" s="6">
        <v>7556.7</v>
      </c>
    </row>
    <row r="223" spans="1:4" customFormat="1" x14ac:dyDescent="0.25">
      <c r="A223" s="5">
        <v>46303</v>
      </c>
      <c r="B223" s="3">
        <v>101</v>
      </c>
      <c r="C223" s="3" t="s">
        <v>4</v>
      </c>
      <c r="D223" s="6">
        <v>3416.5</v>
      </c>
    </row>
    <row r="224" spans="1:4" customFormat="1" x14ac:dyDescent="0.25">
      <c r="A224" s="5">
        <v>46303</v>
      </c>
      <c r="B224" s="3">
        <v>101</v>
      </c>
      <c r="C224" s="3" t="s">
        <v>4</v>
      </c>
      <c r="D224" s="6">
        <v>1273.1199999999999</v>
      </c>
    </row>
    <row r="225" spans="1:4" customFormat="1" x14ac:dyDescent="0.25">
      <c r="A225" s="5">
        <v>46303</v>
      </c>
      <c r="B225" s="3">
        <v>101</v>
      </c>
      <c r="C225" s="3" t="s">
        <v>4</v>
      </c>
      <c r="D225" s="6">
        <v>1805.94</v>
      </c>
    </row>
    <row r="226" spans="1:4" customFormat="1" x14ac:dyDescent="0.25">
      <c r="A226" s="5">
        <v>46303</v>
      </c>
      <c r="B226" s="3">
        <v>101</v>
      </c>
      <c r="C226" s="3" t="s">
        <v>4</v>
      </c>
      <c r="D226" s="6">
        <v>923.23</v>
      </c>
    </row>
    <row r="227" spans="1:4" customFormat="1" x14ac:dyDescent="0.25">
      <c r="A227" s="5">
        <v>46304</v>
      </c>
      <c r="B227" s="3">
        <v>101</v>
      </c>
      <c r="C227" s="3" t="s">
        <v>120</v>
      </c>
      <c r="D227" s="6">
        <v>-50078.87</v>
      </c>
    </row>
    <row r="228" spans="1:4" customFormat="1" x14ac:dyDescent="0.25">
      <c r="A228" s="5">
        <v>46304</v>
      </c>
      <c r="B228" s="3">
        <v>101</v>
      </c>
      <c r="C228" s="3" t="s">
        <v>120</v>
      </c>
      <c r="D228" s="6">
        <v>21379.54</v>
      </c>
    </row>
    <row r="229" spans="1:4" customFormat="1" x14ac:dyDescent="0.25">
      <c r="A229" s="5">
        <v>46304</v>
      </c>
      <c r="B229" s="3">
        <v>101</v>
      </c>
      <c r="C229" s="3" t="s">
        <v>121</v>
      </c>
      <c r="D229" s="6">
        <v>681.51</v>
      </c>
    </row>
    <row r="230" spans="1:4" customFormat="1" x14ac:dyDescent="0.25">
      <c r="A230" s="5">
        <v>46304</v>
      </c>
      <c r="B230" s="3">
        <v>101</v>
      </c>
      <c r="C230" s="3" t="s">
        <v>122</v>
      </c>
      <c r="D230" s="6">
        <v>848.25</v>
      </c>
    </row>
    <row r="231" spans="1:4" customFormat="1" x14ac:dyDescent="0.25">
      <c r="A231" s="5">
        <v>46304</v>
      </c>
      <c r="B231" s="3">
        <v>101</v>
      </c>
      <c r="C231" s="3" t="s">
        <v>45</v>
      </c>
      <c r="D231" s="6">
        <v>8758.8799999999992</v>
      </c>
    </row>
    <row r="232" spans="1:4" customFormat="1" x14ac:dyDescent="0.25">
      <c r="A232" s="5">
        <v>46304</v>
      </c>
      <c r="B232" s="3">
        <v>101</v>
      </c>
      <c r="C232" s="3" t="s">
        <v>20</v>
      </c>
      <c r="D232" s="6">
        <v>6908</v>
      </c>
    </row>
    <row r="233" spans="1:4" customFormat="1" x14ac:dyDescent="0.25">
      <c r="A233" s="5">
        <v>46304</v>
      </c>
      <c r="B233" s="3">
        <v>101</v>
      </c>
      <c r="C233" s="3" t="s">
        <v>31</v>
      </c>
      <c r="D233" s="6">
        <v>1874</v>
      </c>
    </row>
    <row r="234" spans="1:4" customFormat="1" x14ac:dyDescent="0.25">
      <c r="A234" s="5">
        <v>46304</v>
      </c>
      <c r="B234" s="3">
        <v>101</v>
      </c>
      <c r="C234" s="3" t="s">
        <v>57</v>
      </c>
      <c r="D234" s="6">
        <v>764.9</v>
      </c>
    </row>
    <row r="235" spans="1:4" customFormat="1" x14ac:dyDescent="0.25">
      <c r="A235" s="5">
        <v>46304</v>
      </c>
      <c r="B235" s="3">
        <v>101</v>
      </c>
      <c r="C235" s="3" t="s">
        <v>28</v>
      </c>
      <c r="D235" s="6">
        <v>2553.71</v>
      </c>
    </row>
    <row r="236" spans="1:4" customFormat="1" x14ac:dyDescent="0.25">
      <c r="A236" s="5">
        <v>46304</v>
      </c>
      <c r="B236" s="3">
        <v>101</v>
      </c>
      <c r="C236" s="3" t="s">
        <v>30</v>
      </c>
      <c r="D236" s="6">
        <v>11702.28</v>
      </c>
    </row>
    <row r="237" spans="1:4" customFormat="1" x14ac:dyDescent="0.25">
      <c r="A237" s="5">
        <v>46304</v>
      </c>
      <c r="B237" s="3">
        <v>101</v>
      </c>
      <c r="C237" s="3" t="s">
        <v>58</v>
      </c>
      <c r="D237" s="6">
        <v>37790.199999999997</v>
      </c>
    </row>
    <row r="238" spans="1:4" customFormat="1" x14ac:dyDescent="0.25">
      <c r="A238" s="5">
        <v>46304</v>
      </c>
      <c r="B238" s="3">
        <v>101</v>
      </c>
      <c r="C238" s="3" t="s">
        <v>123</v>
      </c>
      <c r="D238" s="6">
        <v>2537.9699999999998</v>
      </c>
    </row>
    <row r="239" spans="1:4" customFormat="1" x14ac:dyDescent="0.25">
      <c r="A239" s="5">
        <v>46304</v>
      </c>
      <c r="B239" s="3">
        <v>101</v>
      </c>
      <c r="C239" s="3" t="s">
        <v>124</v>
      </c>
      <c r="D239" s="6">
        <v>37.64</v>
      </c>
    </row>
    <row r="240" spans="1:4" customFormat="1" x14ac:dyDescent="0.25">
      <c r="A240" s="5">
        <v>46304</v>
      </c>
      <c r="B240" s="3">
        <v>101</v>
      </c>
      <c r="C240" s="3" t="s">
        <v>125</v>
      </c>
      <c r="D240" s="6">
        <v>62.72</v>
      </c>
    </row>
    <row r="241" spans="1:4" customFormat="1" x14ac:dyDescent="0.25">
      <c r="A241" s="5">
        <v>46304</v>
      </c>
      <c r="B241" s="3">
        <v>101</v>
      </c>
      <c r="C241" s="3" t="s">
        <v>126</v>
      </c>
      <c r="D241" s="6">
        <v>12061.96</v>
      </c>
    </row>
    <row r="242" spans="1:4" customFormat="1" x14ac:dyDescent="0.25">
      <c r="A242" s="5">
        <v>46304</v>
      </c>
      <c r="B242" s="3">
        <v>101</v>
      </c>
      <c r="C242" s="3" t="s">
        <v>9</v>
      </c>
      <c r="D242" s="6">
        <v>1187.5</v>
      </c>
    </row>
    <row r="243" spans="1:4" customFormat="1" ht="30" x14ac:dyDescent="0.25">
      <c r="A243" s="5">
        <v>46304</v>
      </c>
      <c r="B243" s="3">
        <v>101</v>
      </c>
      <c r="C243" s="3" t="s">
        <v>38</v>
      </c>
      <c r="D243" s="6">
        <v>9111.7800000000007</v>
      </c>
    </row>
    <row r="244" spans="1:4" customFormat="1" x14ac:dyDescent="0.25">
      <c r="A244" s="5">
        <v>46304</v>
      </c>
      <c r="B244" s="3">
        <v>101</v>
      </c>
      <c r="C244" s="3" t="s">
        <v>127</v>
      </c>
      <c r="D244" s="6">
        <v>5155</v>
      </c>
    </row>
    <row r="245" spans="1:4" customFormat="1" x14ac:dyDescent="0.25">
      <c r="A245" s="5">
        <v>46304</v>
      </c>
      <c r="B245" s="3">
        <v>101</v>
      </c>
      <c r="C245" s="3" t="s">
        <v>1</v>
      </c>
      <c r="D245" s="6">
        <v>35860</v>
      </c>
    </row>
    <row r="246" spans="1:4" customFormat="1" x14ac:dyDescent="0.25">
      <c r="A246" s="5">
        <v>46304</v>
      </c>
      <c r="B246" s="3">
        <v>101</v>
      </c>
      <c r="C246" s="3" t="s">
        <v>52</v>
      </c>
      <c r="D246" s="6">
        <v>1983.9</v>
      </c>
    </row>
    <row r="247" spans="1:4" customFormat="1" x14ac:dyDescent="0.25">
      <c r="A247" s="5">
        <v>46304</v>
      </c>
      <c r="B247" s="3">
        <v>101</v>
      </c>
      <c r="C247" s="3" t="s">
        <v>21</v>
      </c>
      <c r="D247" s="6">
        <v>4016.04</v>
      </c>
    </row>
    <row r="248" spans="1:4" customFormat="1" x14ac:dyDescent="0.25">
      <c r="A248" s="5">
        <v>46304</v>
      </c>
      <c r="B248" s="3">
        <v>101</v>
      </c>
      <c r="C248" s="3" t="s">
        <v>19</v>
      </c>
      <c r="D248" s="6">
        <v>9225.1</v>
      </c>
    </row>
    <row r="249" spans="1:4" customFormat="1" x14ac:dyDescent="0.25">
      <c r="A249" s="5">
        <v>46304</v>
      </c>
      <c r="B249" s="3">
        <v>101</v>
      </c>
      <c r="C249" s="3" t="s">
        <v>128</v>
      </c>
      <c r="D249" s="6">
        <v>1271.0999999999999</v>
      </c>
    </row>
    <row r="250" spans="1:4" customFormat="1" x14ac:dyDescent="0.25">
      <c r="A250" s="5">
        <v>46304</v>
      </c>
      <c r="B250" s="3">
        <v>101</v>
      </c>
      <c r="C250" s="3" t="s">
        <v>40</v>
      </c>
      <c r="D250" s="6">
        <v>-20287.580000000002</v>
      </c>
    </row>
    <row r="251" spans="1:4" customFormat="1" x14ac:dyDescent="0.25">
      <c r="A251" s="5">
        <v>46304</v>
      </c>
      <c r="B251" s="3">
        <v>101</v>
      </c>
      <c r="C251" s="3" t="s">
        <v>40</v>
      </c>
      <c r="D251" s="6">
        <v>1760.22</v>
      </c>
    </row>
    <row r="252" spans="1:4" customFormat="1" x14ac:dyDescent="0.25">
      <c r="A252" s="5">
        <v>46304</v>
      </c>
      <c r="B252" s="3">
        <v>101</v>
      </c>
      <c r="C252" s="3" t="s">
        <v>32</v>
      </c>
      <c r="D252" s="6">
        <v>804.72</v>
      </c>
    </row>
    <row r="253" spans="1:4" customFormat="1" x14ac:dyDescent="0.25">
      <c r="A253" s="5">
        <v>46304</v>
      </c>
      <c r="B253" s="3">
        <v>101</v>
      </c>
      <c r="C253" s="3" t="s">
        <v>43</v>
      </c>
      <c r="D253" s="6">
        <v>5131.3999999999996</v>
      </c>
    </row>
    <row r="254" spans="1:4" customFormat="1" x14ac:dyDescent="0.25">
      <c r="A254" s="5">
        <v>46304</v>
      </c>
      <c r="B254" s="3">
        <v>101</v>
      </c>
      <c r="C254" s="3" t="s">
        <v>43</v>
      </c>
      <c r="D254" s="6">
        <v>6740.68</v>
      </c>
    </row>
    <row r="255" spans="1:4" customFormat="1" x14ac:dyDescent="0.25">
      <c r="A255" s="5">
        <v>46304</v>
      </c>
      <c r="B255" s="3">
        <v>101</v>
      </c>
      <c r="C255" s="3" t="s">
        <v>43</v>
      </c>
      <c r="D255" s="6">
        <v>7095.74</v>
      </c>
    </row>
    <row r="256" spans="1:4" customFormat="1" x14ac:dyDescent="0.25">
      <c r="A256" s="5">
        <v>46304</v>
      </c>
      <c r="B256" s="3">
        <v>101</v>
      </c>
      <c r="C256" s="3" t="s">
        <v>129</v>
      </c>
      <c r="D256" s="6">
        <v>17000</v>
      </c>
    </row>
    <row r="257" spans="1:4" customFormat="1" x14ac:dyDescent="0.25">
      <c r="A257" s="5">
        <v>46304</v>
      </c>
      <c r="B257" s="3">
        <v>101</v>
      </c>
      <c r="C257" s="3" t="s">
        <v>2</v>
      </c>
      <c r="D257" s="6">
        <v>38852</v>
      </c>
    </row>
    <row r="258" spans="1:4" customFormat="1" x14ac:dyDescent="0.25">
      <c r="A258" s="5">
        <v>46304</v>
      </c>
      <c r="B258" s="3">
        <v>101</v>
      </c>
      <c r="C258" s="3" t="s">
        <v>130</v>
      </c>
      <c r="D258" s="6">
        <v>4442.67</v>
      </c>
    </row>
    <row r="259" spans="1:4" customFormat="1" x14ac:dyDescent="0.25">
      <c r="A259" s="5">
        <v>46304</v>
      </c>
      <c r="B259" s="3">
        <v>101</v>
      </c>
      <c r="C259" s="3" t="s">
        <v>131</v>
      </c>
      <c r="D259" s="6">
        <v>9365.4</v>
      </c>
    </row>
    <row r="260" spans="1:4" customFormat="1" x14ac:dyDescent="0.25">
      <c r="A260" s="5">
        <v>46304</v>
      </c>
      <c r="B260" s="3">
        <v>101</v>
      </c>
      <c r="C260" s="3" t="s">
        <v>4</v>
      </c>
      <c r="D260" s="6">
        <v>21547.88</v>
      </c>
    </row>
    <row r="261" spans="1:4" customFormat="1" x14ac:dyDescent="0.25">
      <c r="A261" s="5">
        <v>46304</v>
      </c>
      <c r="B261" s="3">
        <v>101</v>
      </c>
      <c r="C261" s="3" t="s">
        <v>4</v>
      </c>
      <c r="D261" s="6">
        <v>4240.1000000000004</v>
      </c>
    </row>
    <row r="262" spans="1:4" customFormat="1" x14ac:dyDescent="0.25">
      <c r="A262" s="5">
        <v>46304</v>
      </c>
      <c r="B262" s="3">
        <v>101</v>
      </c>
      <c r="C262" s="3" t="s">
        <v>4</v>
      </c>
      <c r="D262" s="6">
        <v>5505.01</v>
      </c>
    </row>
    <row r="263" spans="1:4" customFormat="1" x14ac:dyDescent="0.25">
      <c r="A263" s="5">
        <v>46304</v>
      </c>
      <c r="B263" s="3">
        <v>101</v>
      </c>
      <c r="C263" s="3" t="s">
        <v>4</v>
      </c>
      <c r="D263" s="6">
        <v>2005.6</v>
      </c>
    </row>
    <row r="264" spans="1:4" customFormat="1" x14ac:dyDescent="0.25">
      <c r="A264" s="5">
        <v>46304</v>
      </c>
      <c r="B264" s="3">
        <v>101</v>
      </c>
      <c r="C264" s="3" t="s">
        <v>4</v>
      </c>
      <c r="D264" s="6">
        <v>697.6</v>
      </c>
    </row>
    <row r="265" spans="1:4" customFormat="1" x14ac:dyDescent="0.25">
      <c r="A265" s="5">
        <v>46304</v>
      </c>
      <c r="B265" s="3">
        <v>101</v>
      </c>
      <c r="C265" s="3" t="s">
        <v>42</v>
      </c>
      <c r="D265" s="6">
        <v>6832.8</v>
      </c>
    </row>
    <row r="266" spans="1:4" customFormat="1" x14ac:dyDescent="0.25">
      <c r="A266" s="5">
        <v>46305</v>
      </c>
      <c r="B266" s="3">
        <v>101</v>
      </c>
      <c r="C266" s="3" t="s">
        <v>132</v>
      </c>
      <c r="D266" s="6">
        <v>300.57</v>
      </c>
    </row>
    <row r="267" spans="1:4" customFormat="1" x14ac:dyDescent="0.25">
      <c r="A267" s="5">
        <v>46305</v>
      </c>
      <c r="B267" s="3">
        <v>101</v>
      </c>
      <c r="C267" s="3" t="s">
        <v>133</v>
      </c>
      <c r="D267" s="6">
        <v>621.6</v>
      </c>
    </row>
    <row r="268" spans="1:4" customFormat="1" x14ac:dyDescent="0.25">
      <c r="A268" s="5">
        <v>46305</v>
      </c>
      <c r="B268" s="3">
        <v>101</v>
      </c>
      <c r="C268" s="3" t="s">
        <v>2</v>
      </c>
      <c r="D268" s="6">
        <v>41294.800000000003</v>
      </c>
    </row>
    <row r="269" spans="1:4" customFormat="1" x14ac:dyDescent="0.25">
      <c r="A269" s="5">
        <v>46305</v>
      </c>
      <c r="B269" s="3">
        <v>101</v>
      </c>
      <c r="C269" s="3" t="s">
        <v>4</v>
      </c>
      <c r="D269" s="6">
        <v>1455.15</v>
      </c>
    </row>
    <row r="270" spans="1:4" customFormat="1" x14ac:dyDescent="0.25">
      <c r="A270" s="5">
        <v>46305</v>
      </c>
      <c r="B270" s="3">
        <v>101</v>
      </c>
      <c r="C270" s="3" t="s">
        <v>4</v>
      </c>
      <c r="D270" s="6">
        <v>43200.37</v>
      </c>
    </row>
    <row r="271" spans="1:4" customFormat="1" x14ac:dyDescent="0.25">
      <c r="A271" s="5">
        <v>46305</v>
      </c>
      <c r="B271" s="3">
        <v>101</v>
      </c>
      <c r="C271" s="3" t="s">
        <v>4</v>
      </c>
      <c r="D271" s="6">
        <v>1351.6</v>
      </c>
    </row>
    <row r="272" spans="1:4" customFormat="1" x14ac:dyDescent="0.25">
      <c r="A272" s="5">
        <v>46305</v>
      </c>
      <c r="B272" s="3">
        <v>101</v>
      </c>
      <c r="C272" s="3" t="s">
        <v>4</v>
      </c>
      <c r="D272" s="6">
        <v>7265.75</v>
      </c>
    </row>
    <row r="273" spans="1:4" customFormat="1" x14ac:dyDescent="0.25">
      <c r="A273" s="5">
        <v>46305</v>
      </c>
      <c r="B273" s="3">
        <v>101</v>
      </c>
      <c r="C273" s="3" t="s">
        <v>4</v>
      </c>
      <c r="D273" s="6">
        <v>3262.2</v>
      </c>
    </row>
    <row r="274" spans="1:4" customFormat="1" x14ac:dyDescent="0.25">
      <c r="A274" s="5">
        <v>46305</v>
      </c>
      <c r="B274" s="3">
        <v>101</v>
      </c>
      <c r="C274" s="3" t="s">
        <v>4</v>
      </c>
      <c r="D274" s="6">
        <v>457.8</v>
      </c>
    </row>
    <row r="275" spans="1:4" customFormat="1" x14ac:dyDescent="0.25">
      <c r="A275" s="5">
        <v>46305</v>
      </c>
      <c r="B275" s="3">
        <v>101</v>
      </c>
      <c r="C275" s="3" t="s">
        <v>4</v>
      </c>
      <c r="D275" s="6">
        <v>2831.61</v>
      </c>
    </row>
    <row r="276" spans="1:4" customFormat="1" x14ac:dyDescent="0.25">
      <c r="A276" s="5">
        <v>46305</v>
      </c>
      <c r="B276" s="3">
        <v>101</v>
      </c>
      <c r="C276" s="3" t="s">
        <v>4</v>
      </c>
      <c r="D276" s="6">
        <v>2439.1</v>
      </c>
    </row>
    <row r="277" spans="1:4" customFormat="1" x14ac:dyDescent="0.25">
      <c r="A277" s="5">
        <v>46305</v>
      </c>
      <c r="B277" s="3">
        <v>101</v>
      </c>
      <c r="C277" s="3" t="s">
        <v>4</v>
      </c>
      <c r="D277" s="6">
        <v>13701.41</v>
      </c>
    </row>
    <row r="278" spans="1:4" customFormat="1" x14ac:dyDescent="0.25">
      <c r="A278" s="5">
        <v>46305</v>
      </c>
      <c r="B278" s="3">
        <v>101</v>
      </c>
      <c r="C278" s="3" t="s">
        <v>4</v>
      </c>
      <c r="D278" s="6">
        <v>553.5</v>
      </c>
    </row>
    <row r="279" spans="1:4" customFormat="1" x14ac:dyDescent="0.25">
      <c r="A279" s="5">
        <v>46305</v>
      </c>
      <c r="B279" s="3">
        <v>101</v>
      </c>
      <c r="C279" s="3" t="s">
        <v>4</v>
      </c>
      <c r="D279" s="6">
        <v>505.76</v>
      </c>
    </row>
    <row r="280" spans="1:4" customFormat="1" x14ac:dyDescent="0.25">
      <c r="A280" s="5">
        <v>46305</v>
      </c>
      <c r="B280" s="3">
        <v>101</v>
      </c>
      <c r="C280" s="3" t="s">
        <v>4</v>
      </c>
      <c r="D280" s="6">
        <v>305.2</v>
      </c>
    </row>
    <row r="281" spans="1:4" customFormat="1" x14ac:dyDescent="0.25">
      <c r="A281" s="5">
        <v>46305</v>
      </c>
      <c r="B281" s="3">
        <v>101</v>
      </c>
      <c r="C281" s="3" t="s">
        <v>4</v>
      </c>
      <c r="D281" s="6">
        <v>3520.5</v>
      </c>
    </row>
    <row r="282" spans="1:4" customFormat="1" x14ac:dyDescent="0.25">
      <c r="A282" s="5">
        <v>46305</v>
      </c>
      <c r="B282" s="3">
        <v>101</v>
      </c>
      <c r="C282" s="3" t="s">
        <v>4</v>
      </c>
      <c r="D282" s="6">
        <v>30712.720000000001</v>
      </c>
    </row>
    <row r="283" spans="1:4" customFormat="1" x14ac:dyDescent="0.25">
      <c r="A283" s="5">
        <v>46305</v>
      </c>
      <c r="B283" s="3">
        <v>101</v>
      </c>
      <c r="C283" s="3" t="s">
        <v>4</v>
      </c>
      <c r="D283" s="6">
        <v>1719.94</v>
      </c>
    </row>
    <row r="284" spans="1:4" customFormat="1" x14ac:dyDescent="0.25">
      <c r="A284" s="5">
        <v>46305</v>
      </c>
      <c r="B284" s="3">
        <v>101</v>
      </c>
      <c r="C284" s="3" t="s">
        <v>4</v>
      </c>
      <c r="D284" s="6">
        <v>988.87</v>
      </c>
    </row>
    <row r="285" spans="1:4" customFormat="1" x14ac:dyDescent="0.25">
      <c r="A285" s="5">
        <v>46305</v>
      </c>
      <c r="B285" s="3">
        <v>101</v>
      </c>
      <c r="C285" s="3" t="s">
        <v>134</v>
      </c>
      <c r="D285" s="6">
        <v>8708.09</v>
      </c>
    </row>
    <row r="286" spans="1:4" customFormat="1" x14ac:dyDescent="0.25">
      <c r="A286" s="5">
        <v>46305</v>
      </c>
      <c r="B286" s="3">
        <v>101</v>
      </c>
      <c r="C286" s="3" t="s">
        <v>135</v>
      </c>
      <c r="D286" s="6">
        <v>7790.69</v>
      </c>
    </row>
    <row r="287" spans="1:4" customFormat="1" x14ac:dyDescent="0.25">
      <c r="A287" s="5">
        <v>46305</v>
      </c>
      <c r="B287" s="3">
        <v>101</v>
      </c>
      <c r="C287" s="3" t="s">
        <v>70</v>
      </c>
      <c r="D287" s="6">
        <v>8500</v>
      </c>
    </row>
    <row r="288" spans="1:4" customFormat="1" x14ac:dyDescent="0.25">
      <c r="A288" s="5">
        <v>46305</v>
      </c>
      <c r="B288" s="3">
        <v>101</v>
      </c>
      <c r="C288" s="3" t="s">
        <v>70</v>
      </c>
      <c r="D288" s="6">
        <v>22285.75</v>
      </c>
    </row>
    <row r="289" spans="1:4" customFormat="1" x14ac:dyDescent="0.25">
      <c r="A289" s="5">
        <v>46306</v>
      </c>
      <c r="B289" s="3">
        <v>101</v>
      </c>
      <c r="C289" s="3" t="s">
        <v>136</v>
      </c>
      <c r="D289" s="6">
        <v>650.49</v>
      </c>
    </row>
    <row r="290" spans="1:4" customFormat="1" x14ac:dyDescent="0.25">
      <c r="A290" s="5">
        <v>46306</v>
      </c>
      <c r="B290" s="3">
        <v>101</v>
      </c>
      <c r="C290" s="3" t="s">
        <v>137</v>
      </c>
      <c r="D290" s="6">
        <v>553.83000000000004</v>
      </c>
    </row>
    <row r="291" spans="1:4" customFormat="1" x14ac:dyDescent="0.25">
      <c r="A291" s="5">
        <v>46306</v>
      </c>
      <c r="B291" s="3">
        <v>101</v>
      </c>
      <c r="C291" s="3" t="s">
        <v>138</v>
      </c>
      <c r="D291" s="6">
        <v>641.76</v>
      </c>
    </row>
    <row r="292" spans="1:4" customFormat="1" x14ac:dyDescent="0.25">
      <c r="A292" s="5">
        <v>46306</v>
      </c>
      <c r="B292" s="3">
        <v>101</v>
      </c>
      <c r="C292" s="3" t="s">
        <v>10</v>
      </c>
      <c r="D292" s="6">
        <v>2769.2</v>
      </c>
    </row>
    <row r="293" spans="1:4" customFormat="1" x14ac:dyDescent="0.25">
      <c r="A293" s="5">
        <v>46306</v>
      </c>
      <c r="B293" s="3">
        <v>101</v>
      </c>
      <c r="C293" s="3" t="s">
        <v>139</v>
      </c>
      <c r="D293" s="6">
        <v>352</v>
      </c>
    </row>
    <row r="294" spans="1:4" customFormat="1" x14ac:dyDescent="0.25">
      <c r="A294" s="5">
        <v>46306</v>
      </c>
      <c r="B294" s="3">
        <v>101</v>
      </c>
      <c r="C294" s="3" t="s">
        <v>140</v>
      </c>
      <c r="D294" s="6">
        <v>740.5</v>
      </c>
    </row>
    <row r="295" spans="1:4" customFormat="1" x14ac:dyDescent="0.25">
      <c r="A295" s="5">
        <v>46306</v>
      </c>
      <c r="B295" s="3">
        <v>101</v>
      </c>
      <c r="C295" s="3" t="s">
        <v>141</v>
      </c>
      <c r="D295" s="6">
        <v>128.69999999999999</v>
      </c>
    </row>
    <row r="296" spans="1:4" customFormat="1" x14ac:dyDescent="0.25">
      <c r="A296" s="5">
        <v>46306</v>
      </c>
      <c r="B296" s="3">
        <v>101</v>
      </c>
      <c r="C296" s="3" t="s">
        <v>142</v>
      </c>
      <c r="D296" s="6">
        <v>9196.69</v>
      </c>
    </row>
    <row r="297" spans="1:4" customFormat="1" x14ac:dyDescent="0.25">
      <c r="A297" s="5">
        <v>46306</v>
      </c>
      <c r="B297" s="3">
        <v>101</v>
      </c>
      <c r="C297" s="3" t="s">
        <v>143</v>
      </c>
      <c r="D297" s="6">
        <v>761.75</v>
      </c>
    </row>
    <row r="298" spans="1:4" customFormat="1" x14ac:dyDescent="0.25">
      <c r="A298" s="5">
        <v>46306</v>
      </c>
      <c r="B298" s="3">
        <v>101</v>
      </c>
      <c r="C298" s="3" t="s">
        <v>132</v>
      </c>
      <c r="D298" s="6">
        <v>623.29999999999995</v>
      </c>
    </row>
    <row r="299" spans="1:4" customFormat="1" x14ac:dyDescent="0.25">
      <c r="A299" s="5">
        <v>46306</v>
      </c>
      <c r="B299" s="3">
        <v>101</v>
      </c>
      <c r="C299" s="3" t="s">
        <v>13</v>
      </c>
      <c r="D299" s="6">
        <v>5548.79</v>
      </c>
    </row>
    <row r="300" spans="1:4" customFormat="1" x14ac:dyDescent="0.25">
      <c r="A300" s="5">
        <v>46306</v>
      </c>
      <c r="B300" s="3">
        <v>101</v>
      </c>
      <c r="C300" s="3" t="s">
        <v>98</v>
      </c>
      <c r="D300" s="6">
        <v>504</v>
      </c>
    </row>
    <row r="301" spans="1:4" customFormat="1" x14ac:dyDescent="0.25">
      <c r="A301" s="5">
        <v>46306</v>
      </c>
      <c r="B301" s="3">
        <v>101</v>
      </c>
      <c r="C301" s="3" t="s">
        <v>144</v>
      </c>
      <c r="D301" s="6">
        <v>123</v>
      </c>
    </row>
    <row r="302" spans="1:4" customFormat="1" x14ac:dyDescent="0.25">
      <c r="A302" s="5">
        <v>46306</v>
      </c>
      <c r="B302" s="3">
        <v>101</v>
      </c>
      <c r="C302" s="3" t="s">
        <v>145</v>
      </c>
      <c r="D302" s="6">
        <v>504</v>
      </c>
    </row>
    <row r="303" spans="1:4" customFormat="1" x14ac:dyDescent="0.25">
      <c r="A303" s="5">
        <v>46306</v>
      </c>
      <c r="B303" s="3">
        <v>101</v>
      </c>
      <c r="C303" s="3" t="s">
        <v>146</v>
      </c>
      <c r="D303" s="6">
        <v>7009.72</v>
      </c>
    </row>
    <row r="304" spans="1:4" customFormat="1" x14ac:dyDescent="0.25">
      <c r="A304" s="5">
        <v>46306</v>
      </c>
      <c r="B304" s="3">
        <v>101</v>
      </c>
      <c r="C304" s="3" t="s">
        <v>147</v>
      </c>
      <c r="D304" s="6">
        <v>355</v>
      </c>
    </row>
    <row r="305" spans="1:4" customFormat="1" x14ac:dyDescent="0.25">
      <c r="A305" s="5">
        <v>46306</v>
      </c>
      <c r="B305" s="3">
        <v>101</v>
      </c>
      <c r="C305" s="3" t="s">
        <v>148</v>
      </c>
      <c r="D305" s="6">
        <v>8360.6299999999992</v>
      </c>
    </row>
    <row r="306" spans="1:4" customFormat="1" x14ac:dyDescent="0.25">
      <c r="A306" s="5">
        <v>46306</v>
      </c>
      <c r="B306" s="3">
        <v>101</v>
      </c>
      <c r="C306" s="3" t="s">
        <v>65</v>
      </c>
      <c r="D306" s="6">
        <v>17634.599999999999</v>
      </c>
    </row>
    <row r="307" spans="1:4" customFormat="1" x14ac:dyDescent="0.25">
      <c r="A307" s="5">
        <v>46306</v>
      </c>
      <c r="B307" s="3">
        <v>101</v>
      </c>
      <c r="C307" s="3" t="s">
        <v>9</v>
      </c>
      <c r="D307" s="6">
        <v>513</v>
      </c>
    </row>
    <row r="308" spans="1:4" customFormat="1" x14ac:dyDescent="0.25">
      <c r="A308" s="5">
        <v>46306</v>
      </c>
      <c r="B308" s="3">
        <v>101</v>
      </c>
      <c r="C308" s="3" t="s">
        <v>149</v>
      </c>
      <c r="D308" s="6">
        <v>440</v>
      </c>
    </row>
    <row r="309" spans="1:4" customFormat="1" x14ac:dyDescent="0.25">
      <c r="A309" s="5">
        <v>46306</v>
      </c>
      <c r="B309" s="3">
        <v>101</v>
      </c>
      <c r="C309" s="3" t="s">
        <v>1</v>
      </c>
      <c r="D309" s="6">
        <v>4324.6000000000004</v>
      </c>
    </row>
    <row r="310" spans="1:4" customFormat="1" x14ac:dyDescent="0.25">
      <c r="A310" s="5">
        <v>46306</v>
      </c>
      <c r="B310" s="3">
        <v>101</v>
      </c>
      <c r="C310" s="3" t="s">
        <v>1</v>
      </c>
      <c r="D310" s="6">
        <v>2556</v>
      </c>
    </row>
    <row r="311" spans="1:4" customFormat="1" x14ac:dyDescent="0.25">
      <c r="A311" s="5">
        <v>46306</v>
      </c>
      <c r="B311" s="3">
        <v>101</v>
      </c>
      <c r="C311" s="3" t="s">
        <v>150</v>
      </c>
      <c r="D311" s="6">
        <v>1526.04</v>
      </c>
    </row>
    <row r="312" spans="1:4" customFormat="1" x14ac:dyDescent="0.25">
      <c r="A312" s="5">
        <v>46306</v>
      </c>
      <c r="B312" s="3">
        <v>101</v>
      </c>
      <c r="C312" s="3" t="s">
        <v>35</v>
      </c>
      <c r="D312" s="6">
        <v>1021.28</v>
      </c>
    </row>
    <row r="313" spans="1:4" customFormat="1" x14ac:dyDescent="0.25">
      <c r="A313" s="5">
        <v>46306</v>
      </c>
      <c r="B313" s="3">
        <v>101</v>
      </c>
      <c r="C313" s="3" t="s">
        <v>11</v>
      </c>
      <c r="D313" s="6">
        <v>704.4</v>
      </c>
    </row>
    <row r="314" spans="1:4" customFormat="1" x14ac:dyDescent="0.25">
      <c r="A314" s="5">
        <v>46306</v>
      </c>
      <c r="B314" s="3">
        <v>101</v>
      </c>
      <c r="C314" s="3" t="s">
        <v>21</v>
      </c>
      <c r="D314" s="6">
        <v>1281.22</v>
      </c>
    </row>
    <row r="315" spans="1:4" customFormat="1" x14ac:dyDescent="0.25">
      <c r="A315" s="5">
        <v>46306</v>
      </c>
      <c r="B315" s="3">
        <v>101</v>
      </c>
      <c r="C315" s="3" t="s">
        <v>151</v>
      </c>
      <c r="D315" s="6">
        <v>2384.5700000000002</v>
      </c>
    </row>
    <row r="316" spans="1:4" customFormat="1" x14ac:dyDescent="0.25">
      <c r="A316" s="5">
        <v>46306</v>
      </c>
      <c r="B316" s="3">
        <v>101</v>
      </c>
      <c r="C316" s="3" t="s">
        <v>19</v>
      </c>
      <c r="D316" s="6">
        <v>5978.3</v>
      </c>
    </row>
    <row r="317" spans="1:4" customFormat="1" x14ac:dyDescent="0.25">
      <c r="A317" s="5">
        <v>46306</v>
      </c>
      <c r="B317" s="3">
        <v>101</v>
      </c>
      <c r="C317" s="3" t="s">
        <v>152</v>
      </c>
      <c r="D317" s="6">
        <v>2822.1</v>
      </c>
    </row>
    <row r="318" spans="1:4" customFormat="1" x14ac:dyDescent="0.25">
      <c r="A318" s="5">
        <v>46306</v>
      </c>
      <c r="B318" s="3">
        <v>101</v>
      </c>
      <c r="C318" s="3" t="s">
        <v>153</v>
      </c>
      <c r="D318" s="6">
        <v>566.6</v>
      </c>
    </row>
    <row r="319" spans="1:4" customFormat="1" x14ac:dyDescent="0.25">
      <c r="A319" s="5">
        <v>46306</v>
      </c>
      <c r="B319" s="3">
        <v>101</v>
      </c>
      <c r="C319" s="3" t="s">
        <v>154</v>
      </c>
      <c r="D319" s="6">
        <v>1611</v>
      </c>
    </row>
    <row r="320" spans="1:4" customFormat="1" x14ac:dyDescent="0.25">
      <c r="A320" s="5">
        <v>46306</v>
      </c>
      <c r="B320" s="3">
        <v>101</v>
      </c>
      <c r="C320" s="3" t="s">
        <v>2</v>
      </c>
      <c r="D320" s="6">
        <v>14150.4</v>
      </c>
    </row>
    <row r="321" spans="1:4" customFormat="1" x14ac:dyDescent="0.25">
      <c r="A321" s="5">
        <v>46306</v>
      </c>
      <c r="B321" s="3">
        <v>101</v>
      </c>
      <c r="C321" s="3" t="s">
        <v>155</v>
      </c>
      <c r="D321" s="6">
        <v>237.2</v>
      </c>
    </row>
    <row r="322" spans="1:4" customFormat="1" x14ac:dyDescent="0.25">
      <c r="A322" s="5">
        <v>46306</v>
      </c>
      <c r="B322" s="3">
        <v>101</v>
      </c>
      <c r="C322" s="3" t="s">
        <v>4</v>
      </c>
      <c r="D322" s="6">
        <v>4093.7</v>
      </c>
    </row>
    <row r="323" spans="1:4" customFormat="1" x14ac:dyDescent="0.25">
      <c r="A323" s="5">
        <v>46306</v>
      </c>
      <c r="B323" s="3">
        <v>101</v>
      </c>
      <c r="C323" s="3" t="s">
        <v>156</v>
      </c>
      <c r="D323" s="6">
        <v>2575.17</v>
      </c>
    </row>
    <row r="324" spans="1:4" customFormat="1" x14ac:dyDescent="0.25">
      <c r="A324" s="5">
        <v>46306</v>
      </c>
      <c r="B324" s="3">
        <v>101</v>
      </c>
      <c r="C324" s="3" t="s">
        <v>70</v>
      </c>
      <c r="D324" s="6">
        <v>65472.4</v>
      </c>
    </row>
    <row r="325" spans="1:4" customFormat="1" x14ac:dyDescent="0.25">
      <c r="A325" s="5">
        <v>46306</v>
      </c>
      <c r="B325" s="3">
        <v>101</v>
      </c>
      <c r="C325" s="3" t="s">
        <v>70</v>
      </c>
      <c r="D325" s="6">
        <v>844.76</v>
      </c>
    </row>
    <row r="326" spans="1:4" customFormat="1" x14ac:dyDescent="0.25">
      <c r="A326" s="5">
        <v>46307</v>
      </c>
      <c r="B326" s="3">
        <v>101</v>
      </c>
      <c r="C326" s="3" t="s">
        <v>157</v>
      </c>
      <c r="D326" s="6">
        <v>1218.92</v>
      </c>
    </row>
    <row r="327" spans="1:4" customFormat="1" x14ac:dyDescent="0.25">
      <c r="A327" s="5">
        <v>46307</v>
      </c>
      <c r="B327" s="3">
        <v>101</v>
      </c>
      <c r="C327" s="3" t="s">
        <v>6</v>
      </c>
      <c r="D327" s="6">
        <v>1287</v>
      </c>
    </row>
    <row r="328" spans="1:4" customFormat="1" x14ac:dyDescent="0.25">
      <c r="A328" s="5">
        <v>46307</v>
      </c>
      <c r="B328" s="3">
        <v>101</v>
      </c>
      <c r="C328" s="3" t="s">
        <v>31</v>
      </c>
      <c r="D328" s="6">
        <v>2341.1</v>
      </c>
    </row>
    <row r="329" spans="1:4" customFormat="1" x14ac:dyDescent="0.25">
      <c r="A329" s="5">
        <v>46307</v>
      </c>
      <c r="B329" s="3">
        <v>101</v>
      </c>
      <c r="C329" s="3" t="s">
        <v>56</v>
      </c>
      <c r="D329" s="6">
        <v>568.62</v>
      </c>
    </row>
    <row r="330" spans="1:4" customFormat="1" x14ac:dyDescent="0.25">
      <c r="A330" s="5">
        <v>46307</v>
      </c>
      <c r="B330" s="3">
        <v>101</v>
      </c>
      <c r="C330" s="3" t="s">
        <v>158</v>
      </c>
      <c r="D330" s="6">
        <v>667.2</v>
      </c>
    </row>
    <row r="331" spans="1:4" customFormat="1" x14ac:dyDescent="0.25">
      <c r="A331" s="5">
        <v>46307</v>
      </c>
      <c r="B331" s="3">
        <v>101</v>
      </c>
      <c r="C331" s="3" t="s">
        <v>66</v>
      </c>
      <c r="D331" s="6">
        <v>365.66</v>
      </c>
    </row>
    <row r="332" spans="1:4" customFormat="1" x14ac:dyDescent="0.25">
      <c r="A332" s="5">
        <v>46307</v>
      </c>
      <c r="B332" s="3">
        <v>101</v>
      </c>
      <c r="C332" s="3" t="s">
        <v>28</v>
      </c>
      <c r="D332" s="6">
        <v>2100</v>
      </c>
    </row>
    <row r="333" spans="1:4" customFormat="1" x14ac:dyDescent="0.25">
      <c r="A333" s="5">
        <v>46307</v>
      </c>
      <c r="B333" s="3">
        <v>101</v>
      </c>
      <c r="C333" s="3" t="s">
        <v>159</v>
      </c>
      <c r="D333" s="6">
        <v>2158.1</v>
      </c>
    </row>
    <row r="334" spans="1:4" customFormat="1" x14ac:dyDescent="0.25">
      <c r="A334" s="5">
        <v>46307</v>
      </c>
      <c r="B334" s="3">
        <v>101</v>
      </c>
      <c r="C334" s="3" t="s">
        <v>30</v>
      </c>
      <c r="D334" s="6">
        <v>17054.740000000002</v>
      </c>
    </row>
    <row r="335" spans="1:4" customFormat="1" x14ac:dyDescent="0.25">
      <c r="A335" s="5">
        <v>46307</v>
      </c>
      <c r="B335" s="3">
        <v>101</v>
      </c>
      <c r="C335" s="3" t="s">
        <v>143</v>
      </c>
      <c r="D335" s="6">
        <v>5722.17</v>
      </c>
    </row>
    <row r="336" spans="1:4" customFormat="1" x14ac:dyDescent="0.25">
      <c r="A336" s="5">
        <v>46307</v>
      </c>
      <c r="B336" s="3">
        <v>101</v>
      </c>
      <c r="C336" s="3" t="s">
        <v>144</v>
      </c>
      <c r="D336" s="6">
        <v>516.84</v>
      </c>
    </row>
    <row r="337" spans="1:4" customFormat="1" x14ac:dyDescent="0.25">
      <c r="A337" s="5">
        <v>46307</v>
      </c>
      <c r="B337" s="3">
        <v>101</v>
      </c>
      <c r="C337" s="3" t="s">
        <v>160</v>
      </c>
      <c r="D337" s="6">
        <v>3136.1</v>
      </c>
    </row>
    <row r="338" spans="1:4" customFormat="1" x14ac:dyDescent="0.25">
      <c r="A338" s="5">
        <v>46307</v>
      </c>
      <c r="B338" s="3">
        <v>101</v>
      </c>
      <c r="C338" s="3" t="s">
        <v>161</v>
      </c>
      <c r="D338" s="6">
        <v>1920</v>
      </c>
    </row>
    <row r="339" spans="1:4" customFormat="1" x14ac:dyDescent="0.25">
      <c r="A339" s="5">
        <v>46307</v>
      </c>
      <c r="B339" s="3">
        <v>101</v>
      </c>
      <c r="C339" s="3" t="s">
        <v>162</v>
      </c>
      <c r="D339" s="6">
        <v>5388.8</v>
      </c>
    </row>
    <row r="340" spans="1:4" customFormat="1" x14ac:dyDescent="0.25">
      <c r="A340" s="5">
        <v>46307</v>
      </c>
      <c r="B340" s="3">
        <v>101</v>
      </c>
      <c r="C340" s="3" t="s">
        <v>16</v>
      </c>
      <c r="D340" s="6">
        <v>63968.3</v>
      </c>
    </row>
    <row r="341" spans="1:4" customFormat="1" x14ac:dyDescent="0.25">
      <c r="A341" s="5">
        <v>46307</v>
      </c>
      <c r="B341" s="3">
        <v>101</v>
      </c>
      <c r="C341" s="3" t="s">
        <v>44</v>
      </c>
      <c r="D341" s="6">
        <v>338.8</v>
      </c>
    </row>
    <row r="342" spans="1:4" customFormat="1" x14ac:dyDescent="0.25">
      <c r="A342" s="5">
        <v>46307</v>
      </c>
      <c r="B342" s="3">
        <v>101</v>
      </c>
      <c r="C342" s="3" t="s">
        <v>69</v>
      </c>
      <c r="D342" s="6">
        <v>8556.82</v>
      </c>
    </row>
    <row r="343" spans="1:4" customFormat="1" x14ac:dyDescent="0.25">
      <c r="A343" s="5">
        <v>46307</v>
      </c>
      <c r="B343" s="3">
        <v>101</v>
      </c>
      <c r="C343" s="3" t="s">
        <v>47</v>
      </c>
      <c r="D343" s="6">
        <v>6749.72</v>
      </c>
    </row>
    <row r="344" spans="1:4" customFormat="1" x14ac:dyDescent="0.25">
      <c r="A344" s="5">
        <v>46307</v>
      </c>
      <c r="B344" s="3">
        <v>101</v>
      </c>
      <c r="C344" s="3" t="s">
        <v>163</v>
      </c>
      <c r="D344" s="6">
        <v>952.8</v>
      </c>
    </row>
    <row r="345" spans="1:4" customFormat="1" x14ac:dyDescent="0.25">
      <c r="A345" s="5">
        <v>46307</v>
      </c>
      <c r="B345" s="3">
        <v>101</v>
      </c>
      <c r="C345" s="3" t="s">
        <v>164</v>
      </c>
      <c r="D345" s="6">
        <v>1126.24</v>
      </c>
    </row>
    <row r="346" spans="1:4" customFormat="1" x14ac:dyDescent="0.25">
      <c r="A346" s="5">
        <v>46307</v>
      </c>
      <c r="B346" s="3">
        <v>101</v>
      </c>
      <c r="C346" s="3" t="s">
        <v>165</v>
      </c>
      <c r="D346" s="6">
        <v>749.79</v>
      </c>
    </row>
    <row r="347" spans="1:4" customFormat="1" x14ac:dyDescent="0.25">
      <c r="A347" s="5">
        <v>46307</v>
      </c>
      <c r="B347" s="3">
        <v>101</v>
      </c>
      <c r="C347" s="3" t="s">
        <v>166</v>
      </c>
      <c r="D347" s="6">
        <v>2750.5</v>
      </c>
    </row>
    <row r="348" spans="1:4" customFormat="1" x14ac:dyDescent="0.25">
      <c r="A348" s="5">
        <v>46307</v>
      </c>
      <c r="B348" s="3">
        <v>101</v>
      </c>
      <c r="C348" s="3" t="s">
        <v>67</v>
      </c>
      <c r="D348" s="6">
        <v>2535.8000000000002</v>
      </c>
    </row>
    <row r="349" spans="1:4" customFormat="1" x14ac:dyDescent="0.25">
      <c r="A349" s="5">
        <v>46307</v>
      </c>
      <c r="B349" s="3">
        <v>101</v>
      </c>
      <c r="C349" s="3" t="s">
        <v>50</v>
      </c>
      <c r="D349" s="6">
        <v>8514.76</v>
      </c>
    </row>
    <row r="350" spans="1:4" customFormat="1" x14ac:dyDescent="0.25">
      <c r="A350" s="5">
        <v>46307</v>
      </c>
      <c r="B350" s="3">
        <v>101</v>
      </c>
      <c r="C350" s="3" t="s">
        <v>35</v>
      </c>
      <c r="D350" s="6">
        <v>1363.62</v>
      </c>
    </row>
    <row r="351" spans="1:4" customFormat="1" x14ac:dyDescent="0.25">
      <c r="A351" s="5">
        <v>46307</v>
      </c>
      <c r="B351" s="3">
        <v>101</v>
      </c>
      <c r="C351" s="3" t="s">
        <v>151</v>
      </c>
      <c r="D351" s="6">
        <v>3681.05</v>
      </c>
    </row>
    <row r="352" spans="1:4" customFormat="1" x14ac:dyDescent="0.25">
      <c r="A352" s="5">
        <v>46307</v>
      </c>
      <c r="B352" s="3">
        <v>101</v>
      </c>
      <c r="C352" s="3" t="s">
        <v>167</v>
      </c>
      <c r="D352" s="6">
        <v>2009.47</v>
      </c>
    </row>
    <row r="353" spans="1:4" customFormat="1" x14ac:dyDescent="0.25">
      <c r="A353" s="5">
        <v>46307</v>
      </c>
      <c r="B353" s="3">
        <v>101</v>
      </c>
      <c r="C353" s="3" t="s">
        <v>22</v>
      </c>
      <c r="D353" s="6">
        <v>4417.8999999999996</v>
      </c>
    </row>
    <row r="354" spans="1:4" customFormat="1" x14ac:dyDescent="0.25">
      <c r="A354" s="5">
        <v>46307</v>
      </c>
      <c r="B354" s="3">
        <v>101</v>
      </c>
      <c r="C354" s="3" t="s">
        <v>19</v>
      </c>
      <c r="D354" s="6">
        <v>2467.12</v>
      </c>
    </row>
    <row r="355" spans="1:4" customFormat="1" x14ac:dyDescent="0.25">
      <c r="A355" s="5">
        <v>46307</v>
      </c>
      <c r="B355" s="3">
        <v>101</v>
      </c>
      <c r="C355" s="3" t="s">
        <v>19</v>
      </c>
      <c r="D355" s="6">
        <v>8419.14</v>
      </c>
    </row>
    <row r="356" spans="1:4" customFormat="1" x14ac:dyDescent="0.25">
      <c r="A356" s="5">
        <v>46307</v>
      </c>
      <c r="B356" s="3">
        <v>101</v>
      </c>
      <c r="C356" s="3" t="s">
        <v>19</v>
      </c>
      <c r="D356" s="6">
        <v>450</v>
      </c>
    </row>
    <row r="357" spans="1:4" customFormat="1" x14ac:dyDescent="0.25">
      <c r="A357" s="5">
        <v>46307</v>
      </c>
      <c r="B357" s="3">
        <v>101</v>
      </c>
      <c r="C357" s="3" t="s">
        <v>18</v>
      </c>
      <c r="D357" s="6">
        <v>1377.66</v>
      </c>
    </row>
    <row r="358" spans="1:4" customFormat="1" x14ac:dyDescent="0.25">
      <c r="A358" s="5">
        <v>46307</v>
      </c>
      <c r="B358" s="3">
        <v>101</v>
      </c>
      <c r="C358" s="3" t="s">
        <v>18</v>
      </c>
      <c r="D358" s="6">
        <v>1615.1</v>
      </c>
    </row>
    <row r="359" spans="1:4" customFormat="1" x14ac:dyDescent="0.25">
      <c r="A359" s="5">
        <v>46307</v>
      </c>
      <c r="B359" s="3">
        <v>101</v>
      </c>
      <c r="C359" s="3" t="s">
        <v>18</v>
      </c>
      <c r="D359" s="6">
        <v>596.09</v>
      </c>
    </row>
    <row r="360" spans="1:4" customFormat="1" x14ac:dyDescent="0.25">
      <c r="A360" s="5">
        <v>46307</v>
      </c>
      <c r="B360" s="3">
        <v>101</v>
      </c>
      <c r="C360" s="3" t="s">
        <v>18</v>
      </c>
      <c r="D360" s="6">
        <v>646.72</v>
      </c>
    </row>
    <row r="361" spans="1:4" customFormat="1" x14ac:dyDescent="0.25">
      <c r="A361" s="5">
        <v>46307</v>
      </c>
      <c r="B361" s="3">
        <v>101</v>
      </c>
      <c r="C361" s="3" t="s">
        <v>40</v>
      </c>
      <c r="D361" s="6">
        <v>224.1</v>
      </c>
    </row>
    <row r="362" spans="1:4" customFormat="1" x14ac:dyDescent="0.25">
      <c r="A362" s="5">
        <v>46307</v>
      </c>
      <c r="B362" s="3">
        <v>101</v>
      </c>
      <c r="C362" s="3" t="s">
        <v>32</v>
      </c>
      <c r="D362" s="6">
        <v>11648.33</v>
      </c>
    </row>
    <row r="363" spans="1:4" customFormat="1" x14ac:dyDescent="0.25">
      <c r="A363" s="5">
        <v>46307</v>
      </c>
      <c r="B363" s="3">
        <v>101</v>
      </c>
      <c r="C363" s="3" t="s">
        <v>12</v>
      </c>
      <c r="D363" s="6">
        <v>8928.52</v>
      </c>
    </row>
    <row r="364" spans="1:4" customFormat="1" x14ac:dyDescent="0.25">
      <c r="A364" s="5">
        <v>46307</v>
      </c>
      <c r="B364" s="3">
        <v>101</v>
      </c>
      <c r="C364" s="3" t="s">
        <v>49</v>
      </c>
      <c r="D364" s="6">
        <v>17519.009999999998</v>
      </c>
    </row>
    <row r="365" spans="1:4" customFormat="1" x14ac:dyDescent="0.25">
      <c r="A365" s="5">
        <v>46307</v>
      </c>
      <c r="B365" s="3">
        <v>101</v>
      </c>
      <c r="C365" s="3" t="s">
        <v>168</v>
      </c>
      <c r="D365" s="6">
        <v>1691.84</v>
      </c>
    </row>
    <row r="366" spans="1:4" customFormat="1" x14ac:dyDescent="0.25">
      <c r="A366" s="5">
        <v>46307</v>
      </c>
      <c r="B366" s="3">
        <v>101</v>
      </c>
      <c r="C366" s="3" t="s">
        <v>169</v>
      </c>
      <c r="D366" s="6">
        <v>1164.4000000000001</v>
      </c>
    </row>
    <row r="367" spans="1:4" customFormat="1" x14ac:dyDescent="0.25">
      <c r="A367" s="5">
        <v>46307</v>
      </c>
      <c r="B367" s="3">
        <v>101</v>
      </c>
      <c r="C367" s="3" t="s">
        <v>153</v>
      </c>
      <c r="D367" s="6">
        <v>1872.8</v>
      </c>
    </row>
    <row r="368" spans="1:4" customFormat="1" x14ac:dyDescent="0.25">
      <c r="A368" s="5">
        <v>46307</v>
      </c>
      <c r="B368" s="3">
        <v>101</v>
      </c>
      <c r="C368" s="3" t="s">
        <v>170</v>
      </c>
      <c r="D368" s="6">
        <v>789.14</v>
      </c>
    </row>
    <row r="369" spans="1:4" customFormat="1" x14ac:dyDescent="0.25">
      <c r="A369" s="5">
        <v>46307</v>
      </c>
      <c r="B369" s="3">
        <v>101</v>
      </c>
      <c r="C369" s="3" t="s">
        <v>171</v>
      </c>
      <c r="D369" s="6">
        <v>2712.68</v>
      </c>
    </row>
    <row r="370" spans="1:4" customFormat="1" x14ac:dyDescent="0.25">
      <c r="A370" s="5">
        <v>46307</v>
      </c>
      <c r="B370" s="3">
        <v>101</v>
      </c>
      <c r="C370" s="3" t="s">
        <v>172</v>
      </c>
      <c r="D370" s="6">
        <v>1991.6</v>
      </c>
    </row>
    <row r="371" spans="1:4" customFormat="1" x14ac:dyDescent="0.25">
      <c r="A371" s="5">
        <v>46308</v>
      </c>
      <c r="B371" s="3">
        <v>101</v>
      </c>
      <c r="C371" s="3" t="s">
        <v>173</v>
      </c>
      <c r="D371" s="6">
        <v>2783.73</v>
      </c>
    </row>
    <row r="372" spans="1:4" customFormat="1" x14ac:dyDescent="0.25">
      <c r="A372" s="5">
        <v>46308</v>
      </c>
      <c r="B372" s="3">
        <v>101</v>
      </c>
      <c r="C372" s="3" t="s">
        <v>173</v>
      </c>
      <c r="D372" s="6">
        <v>283.60000000000002</v>
      </c>
    </row>
    <row r="373" spans="1:4" customFormat="1" x14ac:dyDescent="0.25">
      <c r="A373" s="5">
        <v>46308</v>
      </c>
      <c r="B373" s="3">
        <v>101</v>
      </c>
      <c r="C373" s="3" t="s">
        <v>174</v>
      </c>
      <c r="D373" s="6">
        <v>28735.33</v>
      </c>
    </row>
    <row r="374" spans="1:4" customFormat="1" x14ac:dyDescent="0.25">
      <c r="A374" s="5">
        <v>46308</v>
      </c>
      <c r="B374" s="3">
        <v>101</v>
      </c>
      <c r="C374" s="3" t="s">
        <v>175</v>
      </c>
      <c r="D374" s="6">
        <v>3064.28</v>
      </c>
    </row>
    <row r="375" spans="1:4" customFormat="1" x14ac:dyDescent="0.25">
      <c r="A375" s="5">
        <v>46308</v>
      </c>
      <c r="B375" s="3">
        <v>101</v>
      </c>
      <c r="C375" s="3" t="s">
        <v>139</v>
      </c>
      <c r="D375" s="6">
        <v>1193.1099999999999</v>
      </c>
    </row>
    <row r="376" spans="1:4" customFormat="1" x14ac:dyDescent="0.25">
      <c r="A376" s="5">
        <v>46308</v>
      </c>
      <c r="B376" s="3">
        <v>101</v>
      </c>
      <c r="C376" s="3" t="s">
        <v>176</v>
      </c>
      <c r="D376" s="6">
        <v>1414.25</v>
      </c>
    </row>
    <row r="377" spans="1:4" customFormat="1" x14ac:dyDescent="0.25">
      <c r="A377" s="5">
        <v>46308</v>
      </c>
      <c r="B377" s="3">
        <v>101</v>
      </c>
      <c r="C377" s="3" t="s">
        <v>177</v>
      </c>
      <c r="D377" s="6">
        <v>1165.2</v>
      </c>
    </row>
    <row r="378" spans="1:4" customFormat="1" x14ac:dyDescent="0.25">
      <c r="A378" s="5">
        <v>46308</v>
      </c>
      <c r="B378" s="3">
        <v>101</v>
      </c>
      <c r="C378" s="3" t="s">
        <v>28</v>
      </c>
      <c r="D378" s="6">
        <v>248.9</v>
      </c>
    </row>
    <row r="379" spans="1:4" customFormat="1" x14ac:dyDescent="0.25">
      <c r="A379" s="5">
        <v>46308</v>
      </c>
      <c r="B379" s="3">
        <v>101</v>
      </c>
      <c r="C379" s="3" t="s">
        <v>97</v>
      </c>
      <c r="D379" s="6">
        <v>863.42</v>
      </c>
    </row>
    <row r="380" spans="1:4" customFormat="1" x14ac:dyDescent="0.25">
      <c r="A380" s="5">
        <v>46308</v>
      </c>
      <c r="B380" s="3">
        <v>101</v>
      </c>
      <c r="C380" s="3" t="s">
        <v>132</v>
      </c>
      <c r="D380" s="6">
        <v>300.83999999999997</v>
      </c>
    </row>
    <row r="381" spans="1:4" customFormat="1" x14ac:dyDescent="0.25">
      <c r="A381" s="5">
        <v>46308</v>
      </c>
      <c r="B381" s="3">
        <v>101</v>
      </c>
      <c r="C381" s="3" t="s">
        <v>98</v>
      </c>
      <c r="D381" s="6">
        <v>285.83</v>
      </c>
    </row>
    <row r="382" spans="1:4" customFormat="1" x14ac:dyDescent="0.25">
      <c r="A382" s="5">
        <v>46308</v>
      </c>
      <c r="B382" s="3">
        <v>101</v>
      </c>
      <c r="C382" s="3" t="s">
        <v>44</v>
      </c>
      <c r="D382" s="6">
        <v>23092.46</v>
      </c>
    </row>
    <row r="383" spans="1:4" customFormat="1" x14ac:dyDescent="0.25">
      <c r="A383" s="5">
        <v>46308</v>
      </c>
      <c r="B383" s="3">
        <v>101</v>
      </c>
      <c r="C383" s="3" t="s">
        <v>9</v>
      </c>
      <c r="D383" s="6">
        <v>26935.55</v>
      </c>
    </row>
    <row r="384" spans="1:4" customFormat="1" ht="30" x14ac:dyDescent="0.25">
      <c r="A384" s="5">
        <v>46308</v>
      </c>
      <c r="B384" s="3">
        <v>101</v>
      </c>
      <c r="C384" s="3" t="s">
        <v>38</v>
      </c>
      <c r="D384" s="6">
        <v>-886.1</v>
      </c>
    </row>
    <row r="385" spans="1:4" customFormat="1" ht="30" x14ac:dyDescent="0.25">
      <c r="A385" s="5">
        <v>46308</v>
      </c>
      <c r="B385" s="3">
        <v>101</v>
      </c>
      <c r="C385" s="3" t="s">
        <v>38</v>
      </c>
      <c r="D385" s="6">
        <v>5692.68</v>
      </c>
    </row>
    <row r="386" spans="1:4" customFormat="1" x14ac:dyDescent="0.25">
      <c r="A386" s="5">
        <v>46308</v>
      </c>
      <c r="B386" s="3">
        <v>101</v>
      </c>
      <c r="C386" s="3" t="s">
        <v>83</v>
      </c>
      <c r="D386" s="6">
        <v>1074</v>
      </c>
    </row>
    <row r="387" spans="1:4" customFormat="1" x14ac:dyDescent="0.25">
      <c r="A387" s="5">
        <v>46308</v>
      </c>
      <c r="B387" s="3">
        <v>101</v>
      </c>
      <c r="C387" s="3" t="s">
        <v>41</v>
      </c>
      <c r="D387" s="6">
        <v>17585.79</v>
      </c>
    </row>
    <row r="388" spans="1:4" customFormat="1" x14ac:dyDescent="0.25">
      <c r="A388" s="5">
        <v>46308</v>
      </c>
      <c r="B388" s="3">
        <v>101</v>
      </c>
      <c r="C388" s="3" t="s">
        <v>1</v>
      </c>
      <c r="D388" s="6">
        <v>190584</v>
      </c>
    </row>
    <row r="389" spans="1:4" customFormat="1" x14ac:dyDescent="0.25">
      <c r="A389" s="5">
        <v>46308</v>
      </c>
      <c r="B389" s="3">
        <v>101</v>
      </c>
      <c r="C389" s="3" t="s">
        <v>1</v>
      </c>
      <c r="D389" s="6">
        <v>67423.039999999994</v>
      </c>
    </row>
    <row r="390" spans="1:4" customFormat="1" x14ac:dyDescent="0.25">
      <c r="A390" s="5">
        <v>46308</v>
      </c>
      <c r="B390" s="3">
        <v>101</v>
      </c>
      <c r="C390" s="3" t="s">
        <v>178</v>
      </c>
      <c r="D390" s="6">
        <v>578.1</v>
      </c>
    </row>
    <row r="391" spans="1:4" customFormat="1" x14ac:dyDescent="0.25">
      <c r="A391" s="5">
        <v>46308</v>
      </c>
      <c r="B391" s="3">
        <v>101</v>
      </c>
      <c r="C391" s="3" t="s">
        <v>35</v>
      </c>
      <c r="D391" s="6">
        <v>1003.13</v>
      </c>
    </row>
    <row r="392" spans="1:4" customFormat="1" x14ac:dyDescent="0.25">
      <c r="A392" s="5">
        <v>46308</v>
      </c>
      <c r="B392" s="3">
        <v>101</v>
      </c>
      <c r="C392" s="3" t="s">
        <v>84</v>
      </c>
      <c r="D392" s="6">
        <v>4922.72</v>
      </c>
    </row>
    <row r="393" spans="1:4" customFormat="1" x14ac:dyDescent="0.25">
      <c r="A393" s="5">
        <v>46308</v>
      </c>
      <c r="B393" s="3">
        <v>101</v>
      </c>
      <c r="C393" s="3" t="s">
        <v>85</v>
      </c>
      <c r="D393" s="6">
        <v>-12182.18</v>
      </c>
    </row>
    <row r="394" spans="1:4" customFormat="1" x14ac:dyDescent="0.25">
      <c r="A394" s="5">
        <v>46308</v>
      </c>
      <c r="B394" s="3">
        <v>101</v>
      </c>
      <c r="C394" s="3" t="s">
        <v>62</v>
      </c>
      <c r="D394" s="6">
        <v>1346.79</v>
      </c>
    </row>
    <row r="395" spans="1:4" customFormat="1" x14ac:dyDescent="0.25">
      <c r="A395" s="5">
        <v>46308</v>
      </c>
      <c r="B395" s="3">
        <v>101</v>
      </c>
      <c r="C395" s="3" t="s">
        <v>110</v>
      </c>
      <c r="D395" s="6">
        <v>5236.78</v>
      </c>
    </row>
    <row r="396" spans="1:4" customFormat="1" x14ac:dyDescent="0.25">
      <c r="A396" s="5">
        <v>46308</v>
      </c>
      <c r="B396" s="3">
        <v>101</v>
      </c>
      <c r="C396" s="3" t="s">
        <v>111</v>
      </c>
      <c r="D396" s="6">
        <v>1498.17</v>
      </c>
    </row>
    <row r="397" spans="1:4" customFormat="1" x14ac:dyDescent="0.25">
      <c r="A397" s="5">
        <v>46308</v>
      </c>
      <c r="B397" s="3">
        <v>101</v>
      </c>
      <c r="C397" s="3" t="s">
        <v>27</v>
      </c>
      <c r="D397" s="6">
        <v>1249.2</v>
      </c>
    </row>
    <row r="398" spans="1:4" customFormat="1" x14ac:dyDescent="0.25">
      <c r="A398" s="5">
        <v>46308</v>
      </c>
      <c r="B398" s="3">
        <v>101</v>
      </c>
      <c r="C398" s="3" t="s">
        <v>18</v>
      </c>
      <c r="D398" s="6">
        <v>45.36</v>
      </c>
    </row>
    <row r="399" spans="1:4" customFormat="1" x14ac:dyDescent="0.25">
      <c r="A399" s="5">
        <v>46308</v>
      </c>
      <c r="B399" s="3">
        <v>101</v>
      </c>
      <c r="C399" s="3" t="s">
        <v>7</v>
      </c>
      <c r="D399" s="6">
        <v>11361.01</v>
      </c>
    </row>
    <row r="400" spans="1:4" customFormat="1" x14ac:dyDescent="0.25">
      <c r="A400" s="5">
        <v>46308</v>
      </c>
      <c r="B400" s="3">
        <v>101</v>
      </c>
      <c r="C400" s="3" t="s">
        <v>32</v>
      </c>
      <c r="D400" s="6">
        <v>9115.39</v>
      </c>
    </row>
    <row r="401" spans="1:4" customFormat="1" x14ac:dyDescent="0.25">
      <c r="A401" s="5">
        <v>46308</v>
      </c>
      <c r="B401" s="3">
        <v>101</v>
      </c>
      <c r="C401" s="3" t="s">
        <v>86</v>
      </c>
      <c r="D401" s="6">
        <v>4696.7299999999996</v>
      </c>
    </row>
    <row r="402" spans="1:4" customFormat="1" x14ac:dyDescent="0.25">
      <c r="A402" s="5">
        <v>46308</v>
      </c>
      <c r="B402" s="3">
        <v>101</v>
      </c>
      <c r="C402" s="3" t="s">
        <v>49</v>
      </c>
      <c r="D402" s="6">
        <v>17732.740000000002</v>
      </c>
    </row>
    <row r="403" spans="1:4" customFormat="1" x14ac:dyDescent="0.25">
      <c r="A403" s="5">
        <v>46308</v>
      </c>
      <c r="B403" s="3">
        <v>101</v>
      </c>
      <c r="C403" s="3" t="s">
        <v>48</v>
      </c>
      <c r="D403" s="6">
        <v>7943.55</v>
      </c>
    </row>
    <row r="404" spans="1:4" customFormat="1" x14ac:dyDescent="0.25">
      <c r="A404" s="5">
        <v>46308</v>
      </c>
      <c r="B404" s="3">
        <v>101</v>
      </c>
      <c r="C404" s="3" t="s">
        <v>152</v>
      </c>
      <c r="D404" s="6">
        <v>1531.16</v>
      </c>
    </row>
    <row r="405" spans="1:4" customFormat="1" x14ac:dyDescent="0.25">
      <c r="A405" s="5">
        <v>46308</v>
      </c>
      <c r="B405" s="3">
        <v>101</v>
      </c>
      <c r="C405" s="3" t="s">
        <v>15</v>
      </c>
      <c r="D405" s="6">
        <v>1965.6</v>
      </c>
    </row>
    <row r="406" spans="1:4" customFormat="1" x14ac:dyDescent="0.25">
      <c r="A406" s="5">
        <v>46308</v>
      </c>
      <c r="B406" s="3">
        <v>101</v>
      </c>
      <c r="C406" s="3" t="s">
        <v>179</v>
      </c>
      <c r="D406" s="6">
        <v>833.92</v>
      </c>
    </row>
    <row r="407" spans="1:4" customFormat="1" x14ac:dyDescent="0.25">
      <c r="A407" s="5">
        <v>46308</v>
      </c>
      <c r="B407" s="3">
        <v>101</v>
      </c>
      <c r="C407" s="3" t="s">
        <v>4</v>
      </c>
      <c r="D407" s="6">
        <v>25571.98</v>
      </c>
    </row>
    <row r="408" spans="1:4" customFormat="1" x14ac:dyDescent="0.25">
      <c r="A408" s="5">
        <v>46308</v>
      </c>
      <c r="B408" s="3">
        <v>101</v>
      </c>
      <c r="C408" s="3" t="s">
        <v>4</v>
      </c>
      <c r="D408" s="6">
        <v>4496.25</v>
      </c>
    </row>
    <row r="409" spans="1:4" customFormat="1" x14ac:dyDescent="0.25">
      <c r="A409" s="5">
        <v>46308</v>
      </c>
      <c r="B409" s="3">
        <v>101</v>
      </c>
      <c r="C409" s="3" t="s">
        <v>4</v>
      </c>
      <c r="D409" s="6">
        <v>2541</v>
      </c>
    </row>
    <row r="410" spans="1:4" customFormat="1" x14ac:dyDescent="0.25">
      <c r="A410" s="5">
        <v>46308</v>
      </c>
      <c r="B410" s="3">
        <v>101</v>
      </c>
      <c r="C410" s="3" t="s">
        <v>70</v>
      </c>
      <c r="D410" s="6">
        <v>-16400</v>
      </c>
    </row>
    <row r="411" spans="1:4" customFormat="1" x14ac:dyDescent="0.25">
      <c r="A411" s="5">
        <v>46309</v>
      </c>
      <c r="B411" s="3">
        <v>101</v>
      </c>
      <c r="C411" s="3" t="s">
        <v>10</v>
      </c>
      <c r="D411" s="6">
        <v>3250</v>
      </c>
    </row>
    <row r="412" spans="1:4" customFormat="1" x14ac:dyDescent="0.25">
      <c r="A412" s="5">
        <v>46309</v>
      </c>
      <c r="B412" s="3">
        <v>101</v>
      </c>
      <c r="C412" s="3" t="s">
        <v>46</v>
      </c>
      <c r="D412" s="6">
        <v>1668.01</v>
      </c>
    </row>
    <row r="413" spans="1:4" customFormat="1" x14ac:dyDescent="0.25">
      <c r="A413" s="5">
        <v>46309</v>
      </c>
      <c r="B413" s="3">
        <v>101</v>
      </c>
      <c r="C413" s="3" t="s">
        <v>180</v>
      </c>
      <c r="D413" s="6">
        <v>392.4</v>
      </c>
    </row>
    <row r="414" spans="1:4" customFormat="1" x14ac:dyDescent="0.25">
      <c r="A414" s="5">
        <v>46309</v>
      </c>
      <c r="B414" s="3">
        <v>101</v>
      </c>
      <c r="C414" s="3" t="s">
        <v>31</v>
      </c>
      <c r="D414" s="6">
        <v>1148.23</v>
      </c>
    </row>
    <row r="415" spans="1:4" customFormat="1" x14ac:dyDescent="0.25">
      <c r="A415" s="5">
        <v>46309</v>
      </c>
      <c r="B415" s="3">
        <v>101</v>
      </c>
      <c r="C415" s="3" t="s">
        <v>141</v>
      </c>
      <c r="D415" s="6">
        <v>811.2</v>
      </c>
    </row>
    <row r="416" spans="1:4" customFormat="1" x14ac:dyDescent="0.25">
      <c r="A416" s="5">
        <v>46309</v>
      </c>
      <c r="B416" s="3">
        <v>101</v>
      </c>
      <c r="C416" s="3" t="s">
        <v>181</v>
      </c>
      <c r="D416" s="6">
        <v>43.47</v>
      </c>
    </row>
    <row r="417" spans="1:4" customFormat="1" x14ac:dyDescent="0.25">
      <c r="A417" s="5">
        <v>46309</v>
      </c>
      <c r="B417" s="3">
        <v>101</v>
      </c>
      <c r="C417" s="3" t="s">
        <v>28</v>
      </c>
      <c r="D417" s="6">
        <v>22411.11</v>
      </c>
    </row>
    <row r="418" spans="1:4" customFormat="1" x14ac:dyDescent="0.25">
      <c r="A418" s="5">
        <v>46309</v>
      </c>
      <c r="B418" s="3">
        <v>101</v>
      </c>
      <c r="C418" s="3" t="s">
        <v>182</v>
      </c>
      <c r="D418" s="6">
        <v>3131.08</v>
      </c>
    </row>
    <row r="419" spans="1:4" customFormat="1" x14ac:dyDescent="0.25">
      <c r="A419" s="5">
        <v>46309</v>
      </c>
      <c r="B419" s="3">
        <v>101</v>
      </c>
      <c r="C419" s="3" t="s">
        <v>60</v>
      </c>
      <c r="D419" s="6">
        <v>2160</v>
      </c>
    </row>
    <row r="420" spans="1:4" customFormat="1" x14ac:dyDescent="0.25">
      <c r="A420" s="5">
        <v>46309</v>
      </c>
      <c r="B420" s="3">
        <v>101</v>
      </c>
      <c r="C420" s="3" t="s">
        <v>147</v>
      </c>
      <c r="D420" s="6">
        <v>6634.8</v>
      </c>
    </row>
    <row r="421" spans="1:4" customFormat="1" x14ac:dyDescent="0.25">
      <c r="A421" s="5">
        <v>46309</v>
      </c>
      <c r="B421" s="3">
        <v>101</v>
      </c>
      <c r="C421" s="3" t="s">
        <v>183</v>
      </c>
      <c r="D421" s="6">
        <v>10333.950000000001</v>
      </c>
    </row>
    <row r="422" spans="1:4" customFormat="1" ht="30" x14ac:dyDescent="0.25">
      <c r="A422" s="5">
        <v>46309</v>
      </c>
      <c r="B422" s="3">
        <v>101</v>
      </c>
      <c r="C422" s="3" t="s">
        <v>38</v>
      </c>
      <c r="D422" s="6">
        <v>1638</v>
      </c>
    </row>
    <row r="423" spans="1:4" customFormat="1" x14ac:dyDescent="0.25">
      <c r="A423" s="5">
        <v>46309</v>
      </c>
      <c r="B423" s="3">
        <v>101</v>
      </c>
      <c r="C423" s="3" t="s">
        <v>102</v>
      </c>
      <c r="D423" s="6">
        <v>6720</v>
      </c>
    </row>
    <row r="424" spans="1:4" customFormat="1" x14ac:dyDescent="0.25">
      <c r="A424" s="5">
        <v>46309</v>
      </c>
      <c r="B424" s="3">
        <v>101</v>
      </c>
      <c r="C424" s="3" t="s">
        <v>127</v>
      </c>
      <c r="D424" s="6">
        <v>6518.4</v>
      </c>
    </row>
    <row r="425" spans="1:4" customFormat="1" x14ac:dyDescent="0.25">
      <c r="A425" s="5">
        <v>46309</v>
      </c>
      <c r="B425" s="3">
        <v>101</v>
      </c>
      <c r="C425" s="3" t="s">
        <v>1</v>
      </c>
      <c r="D425" s="6">
        <v>10092.4</v>
      </c>
    </row>
    <row r="426" spans="1:4" customFormat="1" x14ac:dyDescent="0.25">
      <c r="A426" s="5">
        <v>46309</v>
      </c>
      <c r="B426" s="3">
        <v>101</v>
      </c>
      <c r="C426" s="3" t="s">
        <v>1</v>
      </c>
      <c r="D426" s="6">
        <v>16382.08</v>
      </c>
    </row>
    <row r="427" spans="1:4" customFormat="1" x14ac:dyDescent="0.25">
      <c r="A427" s="5">
        <v>46309</v>
      </c>
      <c r="B427" s="3">
        <v>101</v>
      </c>
      <c r="C427" s="3" t="s">
        <v>1</v>
      </c>
      <c r="D427" s="6">
        <v>10213</v>
      </c>
    </row>
    <row r="428" spans="1:4" customFormat="1" x14ac:dyDescent="0.25">
      <c r="A428" s="5">
        <v>46309</v>
      </c>
      <c r="B428" s="3">
        <v>101</v>
      </c>
      <c r="C428" s="3" t="s">
        <v>67</v>
      </c>
      <c r="D428" s="6">
        <v>-34.5</v>
      </c>
    </row>
    <row r="429" spans="1:4" customFormat="1" x14ac:dyDescent="0.25">
      <c r="A429" s="5">
        <v>46309</v>
      </c>
      <c r="B429" s="3">
        <v>101</v>
      </c>
      <c r="C429" s="3" t="s">
        <v>85</v>
      </c>
      <c r="D429" s="6">
        <v>44712.71</v>
      </c>
    </row>
    <row r="430" spans="1:4" customFormat="1" x14ac:dyDescent="0.25">
      <c r="A430" s="5">
        <v>46309</v>
      </c>
      <c r="B430" s="3">
        <v>101</v>
      </c>
      <c r="C430" s="3" t="s">
        <v>19</v>
      </c>
      <c r="D430" s="6">
        <v>1583.07</v>
      </c>
    </row>
    <row r="431" spans="1:4" customFormat="1" x14ac:dyDescent="0.25">
      <c r="A431" s="5">
        <v>46309</v>
      </c>
      <c r="B431" s="3">
        <v>101</v>
      </c>
      <c r="C431" s="3" t="s">
        <v>19</v>
      </c>
      <c r="D431" s="6">
        <v>9284.0400000000009</v>
      </c>
    </row>
    <row r="432" spans="1:4" customFormat="1" x14ac:dyDescent="0.25">
      <c r="A432" s="5">
        <v>46309</v>
      </c>
      <c r="B432" s="3">
        <v>101</v>
      </c>
      <c r="C432" s="3" t="s">
        <v>53</v>
      </c>
      <c r="D432" s="6">
        <v>7280.76</v>
      </c>
    </row>
    <row r="433" spans="1:4" customFormat="1" x14ac:dyDescent="0.25">
      <c r="A433" s="5">
        <v>46309</v>
      </c>
      <c r="B433" s="3">
        <v>101</v>
      </c>
      <c r="C433" s="3" t="s">
        <v>128</v>
      </c>
      <c r="D433" s="6">
        <v>-2386.0500000000002</v>
      </c>
    </row>
    <row r="434" spans="1:4" customFormat="1" x14ac:dyDescent="0.25">
      <c r="A434" s="5">
        <v>46309</v>
      </c>
      <c r="B434" s="3">
        <v>101</v>
      </c>
      <c r="C434" s="3" t="s">
        <v>128</v>
      </c>
      <c r="D434" s="6">
        <v>2811.76</v>
      </c>
    </row>
    <row r="435" spans="1:4" customFormat="1" x14ac:dyDescent="0.25">
      <c r="A435" s="5">
        <v>46309</v>
      </c>
      <c r="B435" s="3">
        <v>101</v>
      </c>
      <c r="C435" s="3" t="s">
        <v>18</v>
      </c>
      <c r="D435" s="6">
        <v>1219.98</v>
      </c>
    </row>
    <row r="436" spans="1:4" customFormat="1" x14ac:dyDescent="0.25">
      <c r="A436" s="5">
        <v>46309</v>
      </c>
      <c r="B436" s="3">
        <v>101</v>
      </c>
      <c r="C436" s="3" t="s">
        <v>18</v>
      </c>
      <c r="D436" s="6">
        <v>762.9</v>
      </c>
    </row>
    <row r="437" spans="1:4" customFormat="1" x14ac:dyDescent="0.25">
      <c r="A437" s="5">
        <v>46309</v>
      </c>
      <c r="B437" s="3">
        <v>101</v>
      </c>
      <c r="C437" s="3" t="s">
        <v>18</v>
      </c>
      <c r="D437" s="6">
        <v>1594.8</v>
      </c>
    </row>
    <row r="438" spans="1:4" customFormat="1" x14ac:dyDescent="0.25">
      <c r="A438" s="5">
        <v>46309</v>
      </c>
      <c r="B438" s="3">
        <v>101</v>
      </c>
      <c r="C438" s="3" t="s">
        <v>18</v>
      </c>
      <c r="D438" s="6">
        <v>10130.57</v>
      </c>
    </row>
    <row r="439" spans="1:4" customFormat="1" x14ac:dyDescent="0.25">
      <c r="A439" s="5">
        <v>46309</v>
      </c>
      <c r="B439" s="3">
        <v>101</v>
      </c>
      <c r="C439" s="3" t="s">
        <v>18</v>
      </c>
      <c r="D439" s="6">
        <v>1647.31</v>
      </c>
    </row>
    <row r="440" spans="1:4" customFormat="1" x14ac:dyDescent="0.25">
      <c r="A440" s="5">
        <v>46309</v>
      </c>
      <c r="B440" s="3">
        <v>101</v>
      </c>
      <c r="C440" s="3" t="s">
        <v>40</v>
      </c>
      <c r="D440" s="6">
        <v>19867.580000000002</v>
      </c>
    </row>
    <row r="441" spans="1:4" customFormat="1" x14ac:dyDescent="0.25">
      <c r="A441" s="5">
        <v>46309</v>
      </c>
      <c r="B441" s="3">
        <v>101</v>
      </c>
      <c r="C441" s="3" t="s">
        <v>32</v>
      </c>
      <c r="D441" s="6">
        <v>-69</v>
      </c>
    </row>
    <row r="442" spans="1:4" customFormat="1" x14ac:dyDescent="0.25">
      <c r="A442" s="5">
        <v>46309</v>
      </c>
      <c r="B442" s="3">
        <v>101</v>
      </c>
      <c r="C442" s="3" t="s">
        <v>86</v>
      </c>
      <c r="D442" s="6">
        <v>-3434.86</v>
      </c>
    </row>
    <row r="443" spans="1:4" customFormat="1" x14ac:dyDescent="0.25">
      <c r="A443" s="5">
        <v>46309</v>
      </c>
      <c r="B443" s="3">
        <v>101</v>
      </c>
      <c r="C443" s="3" t="s">
        <v>184</v>
      </c>
      <c r="D443" s="6">
        <v>3165</v>
      </c>
    </row>
    <row r="444" spans="1:4" customFormat="1" x14ac:dyDescent="0.25">
      <c r="A444" s="5">
        <v>46309</v>
      </c>
      <c r="B444" s="3">
        <v>101</v>
      </c>
      <c r="C444" s="3" t="s">
        <v>185</v>
      </c>
      <c r="D444" s="6">
        <v>4762.8</v>
      </c>
    </row>
    <row r="445" spans="1:4" customFormat="1" x14ac:dyDescent="0.25">
      <c r="A445" s="5">
        <v>46309</v>
      </c>
      <c r="B445" s="3">
        <v>101</v>
      </c>
      <c r="C445" s="3" t="s">
        <v>186</v>
      </c>
      <c r="D445" s="6">
        <v>-8210.1</v>
      </c>
    </row>
    <row r="446" spans="1:4" customFormat="1" x14ac:dyDescent="0.25">
      <c r="A446" s="5">
        <v>46309</v>
      </c>
      <c r="B446" s="3">
        <v>101</v>
      </c>
      <c r="C446" s="3" t="s">
        <v>2</v>
      </c>
      <c r="D446" s="6">
        <v>1417.5</v>
      </c>
    </row>
    <row r="447" spans="1:4" customFormat="1" x14ac:dyDescent="0.25">
      <c r="A447" s="5">
        <v>46309</v>
      </c>
      <c r="B447" s="3">
        <v>101</v>
      </c>
      <c r="C447" s="3" t="s">
        <v>155</v>
      </c>
      <c r="D447" s="6">
        <v>1749.84</v>
      </c>
    </row>
    <row r="448" spans="1:4" customFormat="1" x14ac:dyDescent="0.25">
      <c r="A448" s="5">
        <v>46309</v>
      </c>
      <c r="B448" s="3">
        <v>101</v>
      </c>
      <c r="C448" s="3" t="s">
        <v>130</v>
      </c>
      <c r="D448" s="6">
        <v>3159.05</v>
      </c>
    </row>
    <row r="449" spans="1:4" customFormat="1" x14ac:dyDescent="0.25">
      <c r="A449" s="5">
        <v>46309</v>
      </c>
      <c r="B449" s="3">
        <v>101</v>
      </c>
      <c r="C449" s="3" t="s">
        <v>131</v>
      </c>
      <c r="D449" s="6">
        <v>1690.48</v>
      </c>
    </row>
    <row r="450" spans="1:4" customFormat="1" x14ac:dyDescent="0.25">
      <c r="A450" s="5">
        <v>46309</v>
      </c>
      <c r="B450" s="3">
        <v>101</v>
      </c>
      <c r="C450" s="3" t="s">
        <v>4</v>
      </c>
      <c r="D450" s="6">
        <v>37130.18</v>
      </c>
    </row>
    <row r="451" spans="1:4" customFormat="1" x14ac:dyDescent="0.25">
      <c r="A451" s="5">
        <v>46309</v>
      </c>
      <c r="B451" s="3">
        <v>101</v>
      </c>
      <c r="C451" s="3" t="s">
        <v>4</v>
      </c>
      <c r="D451" s="6">
        <v>13838.8</v>
      </c>
    </row>
    <row r="452" spans="1:4" customFormat="1" x14ac:dyDescent="0.25">
      <c r="A452" s="5">
        <v>46309</v>
      </c>
      <c r="B452" s="3">
        <v>101</v>
      </c>
      <c r="C452" s="3" t="s">
        <v>156</v>
      </c>
      <c r="D452" s="6">
        <v>4760</v>
      </c>
    </row>
    <row r="453" spans="1:4" customFormat="1" x14ac:dyDescent="0.25">
      <c r="A453" s="5">
        <v>46309</v>
      </c>
      <c r="B453" s="3">
        <v>101</v>
      </c>
      <c r="C453" s="3" t="s">
        <v>187</v>
      </c>
      <c r="D453" s="6">
        <v>2380</v>
      </c>
    </row>
    <row r="454" spans="1:4" customFormat="1" x14ac:dyDescent="0.25">
      <c r="A454" s="5">
        <v>46309</v>
      </c>
      <c r="B454" s="3">
        <v>101</v>
      </c>
      <c r="C454" s="3" t="s">
        <v>42</v>
      </c>
      <c r="D454" s="6">
        <v>1406.66</v>
      </c>
    </row>
    <row r="455" spans="1:4" customFormat="1" x14ac:dyDescent="0.25">
      <c r="A455" s="5">
        <v>46310</v>
      </c>
      <c r="B455" s="3">
        <v>101</v>
      </c>
      <c r="C455" s="3" t="s">
        <v>173</v>
      </c>
      <c r="D455" s="6">
        <v>466.6</v>
      </c>
    </row>
    <row r="456" spans="1:4" customFormat="1" x14ac:dyDescent="0.25">
      <c r="A456" s="5">
        <v>46310</v>
      </c>
      <c r="B456" s="3">
        <v>101</v>
      </c>
      <c r="C456" s="3" t="s">
        <v>45</v>
      </c>
      <c r="D456" s="6">
        <v>2858.4</v>
      </c>
    </row>
    <row r="457" spans="1:4" customFormat="1" x14ac:dyDescent="0.25">
      <c r="A457" s="5">
        <v>46310</v>
      </c>
      <c r="B457" s="3">
        <v>101</v>
      </c>
      <c r="C457" s="3" t="s">
        <v>188</v>
      </c>
      <c r="D457" s="6">
        <v>9739.98</v>
      </c>
    </row>
    <row r="458" spans="1:4" customFormat="1" x14ac:dyDescent="0.25">
      <c r="A458" s="5">
        <v>46310</v>
      </c>
      <c r="B458" s="3">
        <v>101</v>
      </c>
      <c r="C458" s="3" t="s">
        <v>95</v>
      </c>
      <c r="D458" s="6">
        <v>6734.48</v>
      </c>
    </row>
    <row r="459" spans="1:4" customFormat="1" x14ac:dyDescent="0.25">
      <c r="A459" s="5">
        <v>46310</v>
      </c>
      <c r="B459" s="3">
        <v>101</v>
      </c>
      <c r="C459" s="3" t="s">
        <v>10</v>
      </c>
      <c r="D459" s="6">
        <v>3978</v>
      </c>
    </row>
    <row r="460" spans="1:4" customFormat="1" x14ac:dyDescent="0.25">
      <c r="A460" s="5">
        <v>46310</v>
      </c>
      <c r="B460" s="3">
        <v>101</v>
      </c>
      <c r="C460" s="3" t="s">
        <v>189</v>
      </c>
      <c r="D460" s="6">
        <v>193.15</v>
      </c>
    </row>
    <row r="461" spans="1:4" customFormat="1" x14ac:dyDescent="0.25">
      <c r="A461" s="5">
        <v>46310</v>
      </c>
      <c r="B461" s="3">
        <v>101</v>
      </c>
      <c r="C461" s="3" t="s">
        <v>6</v>
      </c>
      <c r="D461" s="6">
        <v>2574.64</v>
      </c>
    </row>
    <row r="462" spans="1:4" customFormat="1" x14ac:dyDescent="0.25">
      <c r="A462" s="5">
        <v>46310</v>
      </c>
      <c r="B462" s="3">
        <v>101</v>
      </c>
      <c r="C462" s="3" t="s">
        <v>31</v>
      </c>
      <c r="D462" s="6">
        <v>1154.73</v>
      </c>
    </row>
    <row r="463" spans="1:4" customFormat="1" x14ac:dyDescent="0.25">
      <c r="A463" s="5">
        <v>46310</v>
      </c>
      <c r="B463" s="3">
        <v>101</v>
      </c>
      <c r="C463" s="3" t="s">
        <v>142</v>
      </c>
      <c r="D463" s="6">
        <v>6977.89</v>
      </c>
    </row>
    <row r="464" spans="1:4" customFormat="1" x14ac:dyDescent="0.25">
      <c r="A464" s="5">
        <v>46310</v>
      </c>
      <c r="B464" s="3">
        <v>101</v>
      </c>
      <c r="C464" s="3" t="s">
        <v>28</v>
      </c>
      <c r="D464" s="6">
        <v>17074.04</v>
      </c>
    </row>
    <row r="465" spans="1:4" customFormat="1" x14ac:dyDescent="0.25">
      <c r="A465" s="5">
        <v>46310</v>
      </c>
      <c r="B465" s="3">
        <v>101</v>
      </c>
      <c r="C465" s="3" t="s">
        <v>58</v>
      </c>
      <c r="D465" s="6">
        <v>2304</v>
      </c>
    </row>
    <row r="466" spans="1:4" customFormat="1" x14ac:dyDescent="0.25">
      <c r="A466" s="5">
        <v>46310</v>
      </c>
      <c r="B466" s="3">
        <v>101</v>
      </c>
      <c r="C466" s="3" t="s">
        <v>123</v>
      </c>
      <c r="D466" s="6">
        <v>1520.89</v>
      </c>
    </row>
    <row r="467" spans="1:4" customFormat="1" x14ac:dyDescent="0.25">
      <c r="A467" s="5">
        <v>46310</v>
      </c>
      <c r="B467" s="3">
        <v>101</v>
      </c>
      <c r="C467" s="3" t="s">
        <v>17</v>
      </c>
      <c r="D467" s="6">
        <v>12949.2</v>
      </c>
    </row>
    <row r="468" spans="1:4" customFormat="1" x14ac:dyDescent="0.25">
      <c r="A468" s="5">
        <v>46310</v>
      </c>
      <c r="B468" s="3">
        <v>101</v>
      </c>
      <c r="C468" s="3" t="s">
        <v>69</v>
      </c>
      <c r="D468" s="6">
        <v>1258.8</v>
      </c>
    </row>
    <row r="469" spans="1:4" customFormat="1" ht="30" x14ac:dyDescent="0.25">
      <c r="A469" s="5">
        <v>46310</v>
      </c>
      <c r="B469" s="3">
        <v>101</v>
      </c>
      <c r="C469" s="3" t="s">
        <v>38</v>
      </c>
      <c r="D469" s="6">
        <v>5413.5</v>
      </c>
    </row>
    <row r="470" spans="1:4" customFormat="1" x14ac:dyDescent="0.25">
      <c r="A470" s="5">
        <v>46310</v>
      </c>
      <c r="B470" s="3">
        <v>101</v>
      </c>
      <c r="C470" s="3" t="s">
        <v>1</v>
      </c>
      <c r="D470" s="6">
        <v>31491.9</v>
      </c>
    </row>
    <row r="471" spans="1:4" customFormat="1" x14ac:dyDescent="0.25">
      <c r="A471" s="5">
        <v>46310</v>
      </c>
      <c r="B471" s="3">
        <v>101</v>
      </c>
      <c r="C471" s="3" t="s">
        <v>1</v>
      </c>
      <c r="D471" s="6">
        <v>6270.65</v>
      </c>
    </row>
    <row r="472" spans="1:4" customFormat="1" x14ac:dyDescent="0.25">
      <c r="A472" s="5">
        <v>46310</v>
      </c>
      <c r="B472" s="3">
        <v>101</v>
      </c>
      <c r="C472" s="3" t="s">
        <v>150</v>
      </c>
      <c r="D472" s="6">
        <v>52512.4</v>
      </c>
    </row>
    <row r="473" spans="1:4" customFormat="1" x14ac:dyDescent="0.25">
      <c r="A473" s="5">
        <v>46310</v>
      </c>
      <c r="B473" s="3">
        <v>101</v>
      </c>
      <c r="C473" s="3" t="s">
        <v>190</v>
      </c>
      <c r="D473" s="6">
        <v>621.20000000000005</v>
      </c>
    </row>
    <row r="474" spans="1:4" customFormat="1" x14ac:dyDescent="0.25">
      <c r="A474" s="5">
        <v>46310</v>
      </c>
      <c r="B474" s="3">
        <v>101</v>
      </c>
      <c r="C474" s="3" t="s">
        <v>191</v>
      </c>
      <c r="D474" s="6">
        <v>981.19</v>
      </c>
    </row>
    <row r="475" spans="1:4" customFormat="1" x14ac:dyDescent="0.25">
      <c r="A475" s="5">
        <v>46310</v>
      </c>
      <c r="B475" s="3">
        <v>101</v>
      </c>
      <c r="C475" s="3" t="s">
        <v>105</v>
      </c>
      <c r="D475" s="6">
        <v>4710.55</v>
      </c>
    </row>
    <row r="476" spans="1:4" customFormat="1" x14ac:dyDescent="0.25">
      <c r="A476" s="5">
        <v>46310</v>
      </c>
      <c r="B476" s="3">
        <v>101</v>
      </c>
      <c r="C476" s="3" t="s">
        <v>52</v>
      </c>
      <c r="D476" s="6">
        <v>2399.42</v>
      </c>
    </row>
    <row r="477" spans="1:4" customFormat="1" x14ac:dyDescent="0.25">
      <c r="A477" s="5">
        <v>46310</v>
      </c>
      <c r="B477" s="3">
        <v>101</v>
      </c>
      <c r="C477" s="3" t="s">
        <v>21</v>
      </c>
      <c r="D477" s="6">
        <v>2451.42</v>
      </c>
    </row>
    <row r="478" spans="1:4" customFormat="1" x14ac:dyDescent="0.25">
      <c r="A478" s="5">
        <v>46310</v>
      </c>
      <c r="B478" s="3">
        <v>101</v>
      </c>
      <c r="C478" s="3" t="s">
        <v>192</v>
      </c>
      <c r="D478" s="6">
        <v>1788.3</v>
      </c>
    </row>
    <row r="479" spans="1:4" customFormat="1" x14ac:dyDescent="0.25">
      <c r="A479" s="5">
        <v>46310</v>
      </c>
      <c r="B479" s="3">
        <v>101</v>
      </c>
      <c r="C479" s="3" t="s">
        <v>19</v>
      </c>
      <c r="D479" s="6">
        <v>15364.56</v>
      </c>
    </row>
    <row r="480" spans="1:4" customFormat="1" x14ac:dyDescent="0.25">
      <c r="A480" s="5">
        <v>46310</v>
      </c>
      <c r="B480" s="3">
        <v>101</v>
      </c>
      <c r="C480" s="3" t="s">
        <v>29</v>
      </c>
      <c r="D480" s="6">
        <v>12803.04</v>
      </c>
    </row>
    <row r="481" spans="1:4" customFormat="1" x14ac:dyDescent="0.25">
      <c r="A481" s="5">
        <v>46310</v>
      </c>
      <c r="B481" s="3">
        <v>101</v>
      </c>
      <c r="C481" s="3" t="s">
        <v>128</v>
      </c>
      <c r="D481" s="6">
        <v>4219.2700000000004</v>
      </c>
    </row>
    <row r="482" spans="1:4" customFormat="1" x14ac:dyDescent="0.25">
      <c r="A482" s="5">
        <v>46310</v>
      </c>
      <c r="B482" s="3">
        <v>101</v>
      </c>
      <c r="C482" s="3" t="s">
        <v>18</v>
      </c>
      <c r="D482" s="6">
        <v>1374.25</v>
      </c>
    </row>
    <row r="483" spans="1:4" customFormat="1" x14ac:dyDescent="0.25">
      <c r="A483" s="5">
        <v>46310</v>
      </c>
      <c r="B483" s="3">
        <v>101</v>
      </c>
      <c r="C483" s="3" t="s">
        <v>18</v>
      </c>
      <c r="D483" s="6">
        <v>1137.3699999999999</v>
      </c>
    </row>
    <row r="484" spans="1:4" customFormat="1" x14ac:dyDescent="0.25">
      <c r="A484" s="5">
        <v>46310</v>
      </c>
      <c r="B484" s="3">
        <v>101</v>
      </c>
      <c r="C484" s="3" t="s">
        <v>18</v>
      </c>
      <c r="D484" s="6">
        <v>958.3</v>
      </c>
    </row>
    <row r="485" spans="1:4" customFormat="1" x14ac:dyDescent="0.25">
      <c r="A485" s="5">
        <v>46310</v>
      </c>
      <c r="B485" s="3">
        <v>101</v>
      </c>
      <c r="C485" s="3" t="s">
        <v>18</v>
      </c>
      <c r="D485" s="6">
        <v>5366.52</v>
      </c>
    </row>
    <row r="486" spans="1:4" customFormat="1" x14ac:dyDescent="0.25">
      <c r="A486" s="5">
        <v>46310</v>
      </c>
      <c r="B486" s="3">
        <v>101</v>
      </c>
      <c r="C486" s="3" t="s">
        <v>18</v>
      </c>
      <c r="D486" s="6">
        <v>2087.5</v>
      </c>
    </row>
    <row r="487" spans="1:4" customFormat="1" x14ac:dyDescent="0.25">
      <c r="A487" s="5">
        <v>46310</v>
      </c>
      <c r="B487" s="3">
        <v>101</v>
      </c>
      <c r="C487" s="3" t="s">
        <v>18</v>
      </c>
      <c r="D487" s="6">
        <v>584.9</v>
      </c>
    </row>
    <row r="488" spans="1:4" customFormat="1" x14ac:dyDescent="0.25">
      <c r="A488" s="5">
        <v>46310</v>
      </c>
      <c r="B488" s="3">
        <v>101</v>
      </c>
      <c r="C488" s="3" t="s">
        <v>18</v>
      </c>
      <c r="D488" s="6">
        <v>3601.41</v>
      </c>
    </row>
    <row r="489" spans="1:4" customFormat="1" x14ac:dyDescent="0.25">
      <c r="A489" s="5">
        <v>46310</v>
      </c>
      <c r="B489" s="3">
        <v>101</v>
      </c>
      <c r="C489" s="3" t="s">
        <v>193</v>
      </c>
      <c r="D489" s="6">
        <v>889.55</v>
      </c>
    </row>
    <row r="490" spans="1:4" customFormat="1" x14ac:dyDescent="0.25">
      <c r="A490" s="5">
        <v>46310</v>
      </c>
      <c r="B490" s="3">
        <v>101</v>
      </c>
      <c r="C490" s="3" t="s">
        <v>32</v>
      </c>
      <c r="D490" s="6">
        <v>938.84</v>
      </c>
    </row>
    <row r="491" spans="1:4" customFormat="1" x14ac:dyDescent="0.25">
      <c r="A491" s="5">
        <v>46310</v>
      </c>
      <c r="B491" s="3">
        <v>101</v>
      </c>
      <c r="C491" s="3" t="s">
        <v>194</v>
      </c>
      <c r="D491" s="6">
        <v>366.33</v>
      </c>
    </row>
    <row r="492" spans="1:4" customFormat="1" x14ac:dyDescent="0.25">
      <c r="A492" s="5">
        <v>46310</v>
      </c>
      <c r="B492" s="3">
        <v>101</v>
      </c>
      <c r="C492" s="3" t="s">
        <v>114</v>
      </c>
      <c r="D492" s="6">
        <v>3484.09</v>
      </c>
    </row>
    <row r="493" spans="1:4" customFormat="1" x14ac:dyDescent="0.25">
      <c r="A493" s="5">
        <v>46310</v>
      </c>
      <c r="B493" s="3">
        <v>101</v>
      </c>
      <c r="C493" s="3" t="s">
        <v>195</v>
      </c>
      <c r="D493" s="6">
        <v>2787.7</v>
      </c>
    </row>
    <row r="494" spans="1:4" customFormat="1" x14ac:dyDescent="0.25">
      <c r="A494" s="5">
        <v>46310</v>
      </c>
      <c r="B494" s="3">
        <v>101</v>
      </c>
      <c r="C494" s="3" t="s">
        <v>48</v>
      </c>
      <c r="D494" s="6">
        <v>5395.52</v>
      </c>
    </row>
    <row r="495" spans="1:4" customFormat="1" x14ac:dyDescent="0.25">
      <c r="A495" s="5">
        <v>46310</v>
      </c>
      <c r="B495" s="3">
        <v>101</v>
      </c>
      <c r="C495" s="3" t="s">
        <v>48</v>
      </c>
      <c r="D495" s="6">
        <v>1746.28</v>
      </c>
    </row>
    <row r="496" spans="1:4" customFormat="1" x14ac:dyDescent="0.25">
      <c r="A496" s="5">
        <v>46310</v>
      </c>
      <c r="B496" s="3">
        <v>101</v>
      </c>
      <c r="C496" s="3" t="s">
        <v>15</v>
      </c>
      <c r="D496" s="6">
        <v>241.3</v>
      </c>
    </row>
    <row r="497" spans="1:4" customFormat="1" x14ac:dyDescent="0.25">
      <c r="A497" s="5">
        <v>46310</v>
      </c>
      <c r="B497" s="3">
        <v>101</v>
      </c>
      <c r="C497" s="3" t="s">
        <v>43</v>
      </c>
      <c r="D497" s="6">
        <v>4700.8999999999996</v>
      </c>
    </row>
    <row r="498" spans="1:4" customFormat="1" x14ac:dyDescent="0.25">
      <c r="A498" s="5">
        <v>46310</v>
      </c>
      <c r="B498" s="3">
        <v>101</v>
      </c>
      <c r="C498" s="3" t="s">
        <v>43</v>
      </c>
      <c r="D498" s="6">
        <v>1305.9000000000001</v>
      </c>
    </row>
    <row r="499" spans="1:4" customFormat="1" x14ac:dyDescent="0.25">
      <c r="A499" s="5">
        <v>46310</v>
      </c>
      <c r="B499" s="3">
        <v>101</v>
      </c>
      <c r="C499" s="3" t="s">
        <v>43</v>
      </c>
      <c r="D499" s="6">
        <v>1227.8</v>
      </c>
    </row>
    <row r="500" spans="1:4" customFormat="1" x14ac:dyDescent="0.25">
      <c r="A500" s="5">
        <v>46310</v>
      </c>
      <c r="B500" s="3">
        <v>101</v>
      </c>
      <c r="C500" s="3" t="s">
        <v>43</v>
      </c>
      <c r="D500" s="6">
        <v>1203.5999999999999</v>
      </c>
    </row>
    <row r="501" spans="1:4" customFormat="1" x14ac:dyDescent="0.25">
      <c r="A501" s="5">
        <v>46310</v>
      </c>
      <c r="B501" s="3">
        <v>101</v>
      </c>
      <c r="C501" s="3" t="s">
        <v>43</v>
      </c>
      <c r="D501" s="6">
        <v>1592.28</v>
      </c>
    </row>
    <row r="502" spans="1:4" customFormat="1" x14ac:dyDescent="0.25">
      <c r="A502" s="5">
        <v>46310</v>
      </c>
      <c r="B502" s="3">
        <v>101</v>
      </c>
      <c r="C502" s="3" t="s">
        <v>5</v>
      </c>
      <c r="D502" s="6">
        <v>22384.3</v>
      </c>
    </row>
    <row r="503" spans="1:4" customFormat="1" x14ac:dyDescent="0.25">
      <c r="A503" s="5">
        <v>46310</v>
      </c>
      <c r="B503" s="3">
        <v>101</v>
      </c>
      <c r="C503" s="3" t="s">
        <v>51</v>
      </c>
      <c r="D503" s="6">
        <v>295.89999999999998</v>
      </c>
    </row>
    <row r="504" spans="1:4" customFormat="1" x14ac:dyDescent="0.25">
      <c r="A504" s="5">
        <v>46310</v>
      </c>
      <c r="B504" s="3">
        <v>101</v>
      </c>
      <c r="C504" s="3" t="s">
        <v>129</v>
      </c>
      <c r="D504" s="6">
        <v>360</v>
      </c>
    </row>
    <row r="505" spans="1:4" customFormat="1" x14ac:dyDescent="0.25">
      <c r="A505" s="5">
        <v>46310</v>
      </c>
      <c r="B505" s="3">
        <v>101</v>
      </c>
      <c r="C505" s="3" t="s">
        <v>4</v>
      </c>
      <c r="D505" s="6">
        <v>719.4</v>
      </c>
    </row>
    <row r="506" spans="1:4" customFormat="1" x14ac:dyDescent="0.25">
      <c r="A506" s="5">
        <v>46310</v>
      </c>
      <c r="B506" s="3">
        <v>101</v>
      </c>
      <c r="C506" s="3" t="s">
        <v>4</v>
      </c>
      <c r="D506" s="6">
        <v>3064.44</v>
      </c>
    </row>
    <row r="507" spans="1:4" customFormat="1" x14ac:dyDescent="0.25">
      <c r="A507" s="5">
        <v>46310</v>
      </c>
      <c r="B507" s="3">
        <v>101</v>
      </c>
      <c r="C507" s="3" t="s">
        <v>4</v>
      </c>
      <c r="D507" s="6">
        <v>2398</v>
      </c>
    </row>
    <row r="508" spans="1:4" customFormat="1" x14ac:dyDescent="0.25">
      <c r="A508" s="5">
        <v>46310</v>
      </c>
      <c r="B508" s="3">
        <v>101</v>
      </c>
      <c r="C508" s="3" t="s">
        <v>4</v>
      </c>
      <c r="D508" s="6">
        <v>294.3</v>
      </c>
    </row>
    <row r="509" spans="1:4" customFormat="1" x14ac:dyDescent="0.25">
      <c r="A509" s="5">
        <v>46310</v>
      </c>
      <c r="B509" s="3">
        <v>101</v>
      </c>
      <c r="C509" s="3" t="s">
        <v>4</v>
      </c>
      <c r="D509" s="6">
        <v>100.28</v>
      </c>
    </row>
    <row r="510" spans="1:4" customFormat="1" x14ac:dyDescent="0.25">
      <c r="A510" s="5">
        <v>46311</v>
      </c>
      <c r="B510" s="3">
        <v>101</v>
      </c>
      <c r="C510" s="3" t="s">
        <v>196</v>
      </c>
      <c r="D510" s="6">
        <v>32122.91</v>
      </c>
    </row>
    <row r="511" spans="1:4" customFormat="1" x14ac:dyDescent="0.25">
      <c r="A511" s="5">
        <v>46311</v>
      </c>
      <c r="B511" s="3">
        <v>101</v>
      </c>
      <c r="C511" s="3" t="s">
        <v>197</v>
      </c>
      <c r="D511" s="6">
        <v>71159.070000000007</v>
      </c>
    </row>
    <row r="512" spans="1:4" customFormat="1" x14ac:dyDescent="0.25">
      <c r="A512" s="5">
        <v>46311</v>
      </c>
      <c r="B512" s="3">
        <v>101</v>
      </c>
      <c r="C512" s="3" t="s">
        <v>198</v>
      </c>
      <c r="D512" s="6">
        <v>37009.65</v>
      </c>
    </row>
    <row r="513" spans="1:4" customFormat="1" x14ac:dyDescent="0.25">
      <c r="A513" s="5">
        <v>46311</v>
      </c>
      <c r="B513" s="3">
        <v>101</v>
      </c>
      <c r="C513" s="3" t="s">
        <v>199</v>
      </c>
      <c r="D513" s="6">
        <v>44061.99</v>
      </c>
    </row>
    <row r="514" spans="1:4" customFormat="1" x14ac:dyDescent="0.25">
      <c r="A514" s="5">
        <v>46311</v>
      </c>
      <c r="B514" s="3">
        <v>101</v>
      </c>
      <c r="C514" s="3" t="s">
        <v>200</v>
      </c>
      <c r="D514" s="6">
        <v>184150.64</v>
      </c>
    </row>
    <row r="515" spans="1:4" customFormat="1" x14ac:dyDescent="0.25">
      <c r="A515" s="5">
        <v>46311</v>
      </c>
      <c r="B515" s="3">
        <v>101</v>
      </c>
      <c r="C515" s="3" t="s">
        <v>120</v>
      </c>
      <c r="D515" s="6">
        <v>75218.929999999993</v>
      </c>
    </row>
    <row r="516" spans="1:4" customFormat="1" x14ac:dyDescent="0.25">
      <c r="A516" s="5">
        <v>46311</v>
      </c>
      <c r="B516" s="3">
        <v>101</v>
      </c>
      <c r="C516" s="3" t="s">
        <v>201</v>
      </c>
      <c r="D516" s="6">
        <v>20275.66</v>
      </c>
    </row>
    <row r="517" spans="1:4" customFormat="1" x14ac:dyDescent="0.25">
      <c r="A517" s="5">
        <v>46311</v>
      </c>
      <c r="B517" s="3">
        <v>101</v>
      </c>
      <c r="C517" s="3" t="s">
        <v>174</v>
      </c>
      <c r="D517" s="6">
        <v>352337.1</v>
      </c>
    </row>
    <row r="518" spans="1:4" customFormat="1" x14ac:dyDescent="0.25">
      <c r="A518" s="5">
        <v>46311</v>
      </c>
      <c r="B518" s="3">
        <v>101</v>
      </c>
      <c r="C518" s="3" t="s">
        <v>202</v>
      </c>
      <c r="D518" s="6">
        <v>9696</v>
      </c>
    </row>
    <row r="519" spans="1:4" customFormat="1" x14ac:dyDescent="0.25">
      <c r="A519" s="5">
        <v>46311</v>
      </c>
      <c r="B519" s="3">
        <v>101</v>
      </c>
      <c r="C519" s="3" t="s">
        <v>95</v>
      </c>
      <c r="D519" s="6">
        <v>1225.1199999999999</v>
      </c>
    </row>
    <row r="520" spans="1:4" customFormat="1" x14ac:dyDescent="0.25">
      <c r="A520" s="5">
        <v>46311</v>
      </c>
      <c r="B520" s="3">
        <v>101</v>
      </c>
      <c r="C520" s="3" t="s">
        <v>14</v>
      </c>
      <c r="D520" s="6">
        <v>7252.16</v>
      </c>
    </row>
    <row r="521" spans="1:4" customFormat="1" x14ac:dyDescent="0.25">
      <c r="A521" s="5">
        <v>46311</v>
      </c>
      <c r="B521" s="3">
        <v>101</v>
      </c>
      <c r="C521" s="3" t="s">
        <v>10</v>
      </c>
      <c r="D521" s="6">
        <v>16783.7</v>
      </c>
    </row>
    <row r="522" spans="1:4" customFormat="1" x14ac:dyDescent="0.25">
      <c r="A522" s="5">
        <v>46311</v>
      </c>
      <c r="B522" s="3">
        <v>101</v>
      </c>
      <c r="C522" s="3" t="s">
        <v>6</v>
      </c>
      <c r="D522" s="6">
        <v>4832</v>
      </c>
    </row>
    <row r="523" spans="1:4" customFormat="1" x14ac:dyDescent="0.25">
      <c r="A523" s="5">
        <v>46311</v>
      </c>
      <c r="B523" s="3">
        <v>101</v>
      </c>
      <c r="C523" s="3" t="s">
        <v>203</v>
      </c>
      <c r="D523" s="6">
        <v>501.3</v>
      </c>
    </row>
    <row r="524" spans="1:4" customFormat="1" x14ac:dyDescent="0.25">
      <c r="A524" s="5">
        <v>46311</v>
      </c>
      <c r="B524" s="3">
        <v>101</v>
      </c>
      <c r="C524" s="3" t="s">
        <v>96</v>
      </c>
      <c r="D524" s="6">
        <v>1650</v>
      </c>
    </row>
    <row r="525" spans="1:4" customFormat="1" x14ac:dyDescent="0.25">
      <c r="A525" s="5">
        <v>46311</v>
      </c>
      <c r="B525" s="3">
        <v>101</v>
      </c>
      <c r="C525" s="3" t="s">
        <v>57</v>
      </c>
      <c r="D525" s="6">
        <v>543.67999999999995</v>
      </c>
    </row>
    <row r="526" spans="1:4" customFormat="1" x14ac:dyDescent="0.25">
      <c r="A526" s="5">
        <v>46311</v>
      </c>
      <c r="B526" s="3">
        <v>101</v>
      </c>
      <c r="C526" s="3" t="s">
        <v>57</v>
      </c>
      <c r="D526" s="6">
        <v>823.55</v>
      </c>
    </row>
    <row r="527" spans="1:4" customFormat="1" x14ac:dyDescent="0.25">
      <c r="A527" s="5">
        <v>46311</v>
      </c>
      <c r="B527" s="3">
        <v>101</v>
      </c>
      <c r="C527" s="3" t="s">
        <v>57</v>
      </c>
      <c r="D527" s="6">
        <v>1807.29</v>
      </c>
    </row>
    <row r="528" spans="1:4" customFormat="1" x14ac:dyDescent="0.25">
      <c r="A528" s="5">
        <v>46311</v>
      </c>
      <c r="B528" s="3">
        <v>101</v>
      </c>
      <c r="C528" s="3" t="s">
        <v>204</v>
      </c>
      <c r="D528" s="6">
        <v>87368.02</v>
      </c>
    </row>
    <row r="529" spans="1:4" customFormat="1" x14ac:dyDescent="0.25">
      <c r="A529" s="5">
        <v>46311</v>
      </c>
      <c r="B529" s="3">
        <v>101</v>
      </c>
      <c r="C529" s="3" t="s">
        <v>17</v>
      </c>
      <c r="D529" s="6">
        <v>2550</v>
      </c>
    </row>
    <row r="530" spans="1:4" customFormat="1" x14ac:dyDescent="0.25">
      <c r="A530" s="5">
        <v>46311</v>
      </c>
      <c r="B530" s="3">
        <v>101</v>
      </c>
      <c r="C530" s="3" t="s">
        <v>33</v>
      </c>
      <c r="D530" s="6">
        <v>1978.55</v>
      </c>
    </row>
    <row r="531" spans="1:4" customFormat="1" x14ac:dyDescent="0.25">
      <c r="A531" s="5">
        <v>46311</v>
      </c>
      <c r="B531" s="3">
        <v>101</v>
      </c>
      <c r="C531" s="3" t="s">
        <v>47</v>
      </c>
      <c r="D531" s="6">
        <v>10697.12</v>
      </c>
    </row>
    <row r="532" spans="1:4" customFormat="1" x14ac:dyDescent="0.25">
      <c r="A532" s="5">
        <v>46311</v>
      </c>
      <c r="B532" s="3">
        <v>101</v>
      </c>
      <c r="C532" s="3" t="s">
        <v>1</v>
      </c>
      <c r="D532" s="6">
        <v>108834.32</v>
      </c>
    </row>
    <row r="533" spans="1:4" customFormat="1" x14ac:dyDescent="0.25">
      <c r="A533" s="5">
        <v>46311</v>
      </c>
      <c r="B533" s="3">
        <v>101</v>
      </c>
      <c r="C533" s="3" t="s">
        <v>1</v>
      </c>
      <c r="D533" s="6">
        <v>6213.73</v>
      </c>
    </row>
    <row r="534" spans="1:4" customFormat="1" x14ac:dyDescent="0.25">
      <c r="A534" s="5">
        <v>46311</v>
      </c>
      <c r="B534" s="3">
        <v>101</v>
      </c>
      <c r="C534" s="3" t="s">
        <v>1</v>
      </c>
      <c r="D534" s="6">
        <v>31559.200000000001</v>
      </c>
    </row>
    <row r="535" spans="1:4" customFormat="1" x14ac:dyDescent="0.25">
      <c r="A535" s="5">
        <v>46311</v>
      </c>
      <c r="B535" s="3">
        <v>101</v>
      </c>
      <c r="C535" s="3" t="s">
        <v>1</v>
      </c>
      <c r="D535" s="6">
        <v>3239.37</v>
      </c>
    </row>
    <row r="536" spans="1:4" customFormat="1" x14ac:dyDescent="0.25">
      <c r="A536" s="5">
        <v>46311</v>
      </c>
      <c r="B536" s="3">
        <v>101</v>
      </c>
      <c r="C536" s="3" t="s">
        <v>150</v>
      </c>
      <c r="D536" s="6">
        <v>11946.84</v>
      </c>
    </row>
    <row r="537" spans="1:4" customFormat="1" x14ac:dyDescent="0.25">
      <c r="A537" s="5">
        <v>46311</v>
      </c>
      <c r="B537" s="3">
        <v>101</v>
      </c>
      <c r="C537" s="3" t="s">
        <v>67</v>
      </c>
      <c r="D537" s="6">
        <v>734.03</v>
      </c>
    </row>
    <row r="538" spans="1:4" customFormat="1" x14ac:dyDescent="0.25">
      <c r="A538" s="5">
        <v>46311</v>
      </c>
      <c r="B538" s="3">
        <v>101</v>
      </c>
      <c r="C538" s="3" t="s">
        <v>35</v>
      </c>
      <c r="D538" s="6">
        <v>1249.75</v>
      </c>
    </row>
    <row r="539" spans="1:4" customFormat="1" x14ac:dyDescent="0.25">
      <c r="A539" s="5">
        <v>46311</v>
      </c>
      <c r="B539" s="3">
        <v>101</v>
      </c>
      <c r="C539" s="3" t="s">
        <v>35</v>
      </c>
      <c r="D539" s="6">
        <v>1095.5</v>
      </c>
    </row>
    <row r="540" spans="1:4" customFormat="1" x14ac:dyDescent="0.25">
      <c r="A540" s="5">
        <v>46311</v>
      </c>
      <c r="B540" s="3">
        <v>101</v>
      </c>
      <c r="C540" s="3" t="s">
        <v>84</v>
      </c>
      <c r="D540" s="6">
        <v>3746.95</v>
      </c>
    </row>
    <row r="541" spans="1:4" customFormat="1" x14ac:dyDescent="0.25">
      <c r="A541" s="5">
        <v>46311</v>
      </c>
      <c r="B541" s="3">
        <v>101</v>
      </c>
      <c r="C541" s="3" t="s">
        <v>106</v>
      </c>
      <c r="D541" s="6">
        <v>5653.55</v>
      </c>
    </row>
    <row r="542" spans="1:4" customFormat="1" x14ac:dyDescent="0.25">
      <c r="A542" s="5">
        <v>46311</v>
      </c>
      <c r="B542" s="3">
        <v>101</v>
      </c>
      <c r="C542" s="3" t="s">
        <v>62</v>
      </c>
      <c r="D542" s="6">
        <v>1133.6099999999999</v>
      </c>
    </row>
    <row r="543" spans="1:4" customFormat="1" x14ac:dyDescent="0.25">
      <c r="A543" s="5">
        <v>46311</v>
      </c>
      <c r="B543" s="3">
        <v>101</v>
      </c>
      <c r="C543" s="3" t="s">
        <v>205</v>
      </c>
      <c r="D543" s="6">
        <v>642.83000000000004</v>
      </c>
    </row>
    <row r="544" spans="1:4" customFormat="1" x14ac:dyDescent="0.25">
      <c r="A544" s="5">
        <v>46311</v>
      </c>
      <c r="B544" s="3">
        <v>101</v>
      </c>
      <c r="C544" s="3" t="s">
        <v>19</v>
      </c>
      <c r="D544" s="6">
        <v>2548</v>
      </c>
    </row>
    <row r="545" spans="1:4" customFormat="1" x14ac:dyDescent="0.25">
      <c r="A545" s="5">
        <v>46311</v>
      </c>
      <c r="B545" s="3">
        <v>101</v>
      </c>
      <c r="C545" s="3" t="s">
        <v>53</v>
      </c>
      <c r="D545" s="6">
        <v>4749</v>
      </c>
    </row>
    <row r="546" spans="1:4" customFormat="1" x14ac:dyDescent="0.25">
      <c r="A546" s="5">
        <v>46311</v>
      </c>
      <c r="B546" s="3">
        <v>101</v>
      </c>
      <c r="C546" s="3" t="s">
        <v>18</v>
      </c>
      <c r="D546" s="6">
        <v>5210.75</v>
      </c>
    </row>
    <row r="547" spans="1:4" customFormat="1" x14ac:dyDescent="0.25">
      <c r="A547" s="5">
        <v>46311</v>
      </c>
      <c r="B547" s="3">
        <v>101</v>
      </c>
      <c r="C547" s="3" t="s">
        <v>18</v>
      </c>
      <c r="D547" s="6">
        <v>943.12</v>
      </c>
    </row>
    <row r="548" spans="1:4" customFormat="1" x14ac:dyDescent="0.25">
      <c r="A548" s="5">
        <v>46311</v>
      </c>
      <c r="B548" s="3">
        <v>101</v>
      </c>
      <c r="C548" s="3" t="s">
        <v>18</v>
      </c>
      <c r="D548" s="6">
        <v>2530.02</v>
      </c>
    </row>
    <row r="549" spans="1:4" customFormat="1" x14ac:dyDescent="0.25">
      <c r="A549" s="5">
        <v>46311</v>
      </c>
      <c r="B549" s="3">
        <v>101</v>
      </c>
      <c r="C549" s="3" t="s">
        <v>18</v>
      </c>
      <c r="D549" s="6">
        <v>1931.94</v>
      </c>
    </row>
    <row r="550" spans="1:4" customFormat="1" x14ac:dyDescent="0.25">
      <c r="A550" s="5">
        <v>46311</v>
      </c>
      <c r="B550" s="3">
        <v>101</v>
      </c>
      <c r="C550" s="3" t="s">
        <v>18</v>
      </c>
      <c r="D550" s="6">
        <v>5616.03</v>
      </c>
    </row>
    <row r="551" spans="1:4" customFormat="1" x14ac:dyDescent="0.25">
      <c r="A551" s="5">
        <v>46311</v>
      </c>
      <c r="B551" s="3">
        <v>101</v>
      </c>
      <c r="C551" s="3" t="s">
        <v>18</v>
      </c>
      <c r="D551" s="6">
        <v>637.37</v>
      </c>
    </row>
    <row r="552" spans="1:4" customFormat="1" x14ac:dyDescent="0.25">
      <c r="A552" s="5">
        <v>46311</v>
      </c>
      <c r="B552" s="3">
        <v>101</v>
      </c>
      <c r="C552" s="3" t="s">
        <v>18</v>
      </c>
      <c r="D552" s="6">
        <v>794.88</v>
      </c>
    </row>
    <row r="553" spans="1:4" customFormat="1" x14ac:dyDescent="0.25">
      <c r="A553" s="5">
        <v>46311</v>
      </c>
      <c r="B553" s="3">
        <v>101</v>
      </c>
      <c r="C553" s="3" t="s">
        <v>18</v>
      </c>
      <c r="D553" s="6">
        <v>1260</v>
      </c>
    </row>
    <row r="554" spans="1:4" customFormat="1" x14ac:dyDescent="0.25">
      <c r="A554" s="5">
        <v>46311</v>
      </c>
      <c r="B554" s="3">
        <v>101</v>
      </c>
      <c r="C554" s="3" t="s">
        <v>18</v>
      </c>
      <c r="D554" s="6">
        <v>25324.1</v>
      </c>
    </row>
    <row r="555" spans="1:4" customFormat="1" x14ac:dyDescent="0.25">
      <c r="A555" s="5">
        <v>46311</v>
      </c>
      <c r="B555" s="3">
        <v>101</v>
      </c>
      <c r="C555" s="3" t="s">
        <v>18</v>
      </c>
      <c r="D555" s="6">
        <v>4278.84</v>
      </c>
    </row>
    <row r="556" spans="1:4" customFormat="1" x14ac:dyDescent="0.25">
      <c r="A556" s="5">
        <v>46311</v>
      </c>
      <c r="B556" s="3">
        <v>101</v>
      </c>
      <c r="C556" s="3" t="s">
        <v>193</v>
      </c>
      <c r="D556" s="6">
        <v>969.83</v>
      </c>
    </row>
    <row r="557" spans="1:4" customFormat="1" x14ac:dyDescent="0.25">
      <c r="A557" s="5">
        <v>46311</v>
      </c>
      <c r="B557" s="3">
        <v>101</v>
      </c>
      <c r="C557" s="3" t="s">
        <v>32</v>
      </c>
      <c r="D557" s="6">
        <v>4092.84</v>
      </c>
    </row>
    <row r="558" spans="1:4" customFormat="1" x14ac:dyDescent="0.25">
      <c r="A558" s="5">
        <v>46311</v>
      </c>
      <c r="B558" s="3">
        <v>101</v>
      </c>
      <c r="C558" s="3" t="s">
        <v>32</v>
      </c>
      <c r="D558" s="6">
        <v>715.19</v>
      </c>
    </row>
    <row r="559" spans="1:4" customFormat="1" x14ac:dyDescent="0.25">
      <c r="A559" s="5">
        <v>46311</v>
      </c>
      <c r="B559" s="3">
        <v>101</v>
      </c>
      <c r="C559" s="3" t="s">
        <v>86</v>
      </c>
      <c r="D559" s="6">
        <v>5750.58</v>
      </c>
    </row>
    <row r="560" spans="1:4" customFormat="1" x14ac:dyDescent="0.25">
      <c r="A560" s="5">
        <v>46311</v>
      </c>
      <c r="B560" s="3">
        <v>101</v>
      </c>
      <c r="C560" s="3" t="s">
        <v>206</v>
      </c>
      <c r="D560" s="6">
        <v>3769.29</v>
      </c>
    </row>
    <row r="561" spans="1:4" customFormat="1" x14ac:dyDescent="0.25">
      <c r="A561" s="5">
        <v>46311</v>
      </c>
      <c r="B561" s="3">
        <v>101</v>
      </c>
      <c r="C561" s="3" t="s">
        <v>61</v>
      </c>
      <c r="D561" s="6">
        <v>7241.05</v>
      </c>
    </row>
    <row r="562" spans="1:4" customFormat="1" x14ac:dyDescent="0.25">
      <c r="A562" s="5">
        <v>46311</v>
      </c>
      <c r="B562" s="3">
        <v>101</v>
      </c>
      <c r="C562" s="3" t="s">
        <v>207</v>
      </c>
      <c r="D562" s="6">
        <v>3196.24</v>
      </c>
    </row>
    <row r="563" spans="1:4" customFormat="1" x14ac:dyDescent="0.25">
      <c r="A563" s="5">
        <v>46311</v>
      </c>
      <c r="B563" s="3">
        <v>101</v>
      </c>
      <c r="C563" s="3" t="s">
        <v>208</v>
      </c>
      <c r="D563" s="6">
        <v>7577.7</v>
      </c>
    </row>
    <row r="564" spans="1:4" customFormat="1" x14ac:dyDescent="0.25">
      <c r="A564" s="5">
        <v>46311</v>
      </c>
      <c r="B564" s="3">
        <v>101</v>
      </c>
      <c r="C564" s="3" t="s">
        <v>48</v>
      </c>
      <c r="D564" s="6">
        <v>2729.69</v>
      </c>
    </row>
    <row r="565" spans="1:4" customFormat="1" x14ac:dyDescent="0.25">
      <c r="A565" s="5">
        <v>46311</v>
      </c>
      <c r="B565" s="3">
        <v>101</v>
      </c>
      <c r="C565" s="3" t="s">
        <v>48</v>
      </c>
      <c r="D565" s="6">
        <v>1828.47</v>
      </c>
    </row>
    <row r="566" spans="1:4" customFormat="1" x14ac:dyDescent="0.25">
      <c r="A566" s="5">
        <v>46311</v>
      </c>
      <c r="B566" s="3">
        <v>101</v>
      </c>
      <c r="C566" s="3" t="s">
        <v>209</v>
      </c>
      <c r="D566" s="6">
        <v>1442.5</v>
      </c>
    </row>
    <row r="567" spans="1:4" customFormat="1" x14ac:dyDescent="0.25">
      <c r="A567" s="5">
        <v>46311</v>
      </c>
      <c r="B567" s="3">
        <v>101</v>
      </c>
      <c r="C567" s="3" t="s">
        <v>210</v>
      </c>
      <c r="D567" s="6">
        <v>6617.7</v>
      </c>
    </row>
    <row r="568" spans="1:4" customFormat="1" x14ac:dyDescent="0.25">
      <c r="A568" s="5">
        <v>46311</v>
      </c>
      <c r="B568" s="3">
        <v>101</v>
      </c>
      <c r="C568" s="3" t="s">
        <v>186</v>
      </c>
      <c r="D568" s="6">
        <v>20124.900000000001</v>
      </c>
    </row>
    <row r="569" spans="1:4" customFormat="1" x14ac:dyDescent="0.25">
      <c r="A569" s="5">
        <v>46311</v>
      </c>
      <c r="B569" s="3">
        <v>101</v>
      </c>
      <c r="C569" s="3" t="s">
        <v>211</v>
      </c>
      <c r="D569" s="6">
        <v>1577.28</v>
      </c>
    </row>
    <row r="570" spans="1:4" customFormat="1" x14ac:dyDescent="0.25">
      <c r="A570" s="5">
        <v>46311</v>
      </c>
      <c r="B570" s="3">
        <v>101</v>
      </c>
      <c r="C570" s="3" t="s">
        <v>5</v>
      </c>
      <c r="D570" s="6">
        <v>9912</v>
      </c>
    </row>
    <row r="571" spans="1:4" customFormat="1" x14ac:dyDescent="0.25">
      <c r="A571" s="5">
        <v>46311</v>
      </c>
      <c r="B571" s="3">
        <v>101</v>
      </c>
      <c r="C571" s="3" t="s">
        <v>5</v>
      </c>
      <c r="D571" s="6">
        <v>42350</v>
      </c>
    </row>
    <row r="572" spans="1:4" customFormat="1" x14ac:dyDescent="0.25">
      <c r="A572" s="5">
        <v>46311</v>
      </c>
      <c r="B572" s="3">
        <v>101</v>
      </c>
      <c r="C572" s="3" t="s">
        <v>212</v>
      </c>
      <c r="D572" s="6">
        <v>4335</v>
      </c>
    </row>
    <row r="573" spans="1:4" customFormat="1" x14ac:dyDescent="0.25">
      <c r="A573" s="5">
        <v>46311</v>
      </c>
      <c r="B573" s="3">
        <v>101</v>
      </c>
      <c r="C573" s="3" t="s">
        <v>213</v>
      </c>
      <c r="D573" s="6">
        <v>8100</v>
      </c>
    </row>
    <row r="574" spans="1:4" customFormat="1" x14ac:dyDescent="0.25">
      <c r="A574" s="5">
        <v>46311</v>
      </c>
      <c r="B574" s="3">
        <v>101</v>
      </c>
      <c r="C574" s="3" t="s">
        <v>214</v>
      </c>
      <c r="D574" s="6">
        <v>968.87</v>
      </c>
    </row>
    <row r="575" spans="1:4" customFormat="1" x14ac:dyDescent="0.25">
      <c r="A575" s="5">
        <v>46311</v>
      </c>
      <c r="B575" s="3">
        <v>101</v>
      </c>
      <c r="C575" s="3" t="s">
        <v>4</v>
      </c>
      <c r="D575" s="6">
        <v>2400.84</v>
      </c>
    </row>
    <row r="576" spans="1:4" customFormat="1" x14ac:dyDescent="0.25">
      <c r="A576" s="5">
        <v>46311</v>
      </c>
      <c r="B576" s="3">
        <v>101</v>
      </c>
      <c r="C576" s="3" t="s">
        <v>4</v>
      </c>
      <c r="D576" s="6">
        <v>3167.27</v>
      </c>
    </row>
    <row r="577" spans="1:4" customFormat="1" x14ac:dyDescent="0.25">
      <c r="A577" s="5">
        <v>46311</v>
      </c>
      <c r="B577" s="3">
        <v>101</v>
      </c>
      <c r="C577" s="3" t="s">
        <v>4</v>
      </c>
      <c r="D577" s="6">
        <v>67.8</v>
      </c>
    </row>
    <row r="578" spans="1:4" customFormat="1" x14ac:dyDescent="0.25">
      <c r="A578" s="5">
        <v>46311</v>
      </c>
      <c r="B578" s="3">
        <v>101</v>
      </c>
      <c r="C578" s="3" t="s">
        <v>4</v>
      </c>
      <c r="D578" s="6">
        <v>261.92</v>
      </c>
    </row>
    <row r="579" spans="1:4" customFormat="1" x14ac:dyDescent="0.25">
      <c r="A579" s="5">
        <v>46311</v>
      </c>
      <c r="B579" s="3">
        <v>101</v>
      </c>
      <c r="C579" s="3" t="s">
        <v>70</v>
      </c>
      <c r="D579" s="6">
        <v>12833</v>
      </c>
    </row>
    <row r="580" spans="1:4" customFormat="1" x14ac:dyDescent="0.25">
      <c r="A580" s="5">
        <v>46314</v>
      </c>
      <c r="B580" s="3">
        <v>101</v>
      </c>
      <c r="C580" s="3" t="s">
        <v>173</v>
      </c>
      <c r="D580" s="6">
        <v>1003.1</v>
      </c>
    </row>
    <row r="581" spans="1:4" customFormat="1" x14ac:dyDescent="0.25">
      <c r="A581" s="5">
        <v>46314</v>
      </c>
      <c r="B581" s="3">
        <v>101</v>
      </c>
      <c r="C581" s="3" t="s">
        <v>14</v>
      </c>
      <c r="D581" s="6">
        <v>6082</v>
      </c>
    </row>
    <row r="582" spans="1:4" customFormat="1" x14ac:dyDescent="0.25">
      <c r="A582" s="5">
        <v>46314</v>
      </c>
      <c r="B582" s="3">
        <v>101</v>
      </c>
      <c r="C582" s="3" t="s">
        <v>36</v>
      </c>
      <c r="D582" s="6">
        <v>28389.8</v>
      </c>
    </row>
    <row r="583" spans="1:4" customFormat="1" x14ac:dyDescent="0.25">
      <c r="A583" s="5">
        <v>46314</v>
      </c>
      <c r="B583" s="3">
        <v>101</v>
      </c>
      <c r="C583" s="3" t="s">
        <v>157</v>
      </c>
      <c r="D583" s="6">
        <v>1192.8399999999999</v>
      </c>
    </row>
    <row r="584" spans="1:4" customFormat="1" x14ac:dyDescent="0.25">
      <c r="A584" s="5">
        <v>46314</v>
      </c>
      <c r="B584" s="3">
        <v>101</v>
      </c>
      <c r="C584" s="3" t="s">
        <v>157</v>
      </c>
      <c r="D584" s="6">
        <v>1260.49</v>
      </c>
    </row>
    <row r="585" spans="1:4" customFormat="1" x14ac:dyDescent="0.25">
      <c r="A585" s="5">
        <v>46314</v>
      </c>
      <c r="B585" s="3">
        <v>101</v>
      </c>
      <c r="C585" s="3" t="s">
        <v>20</v>
      </c>
      <c r="D585" s="6">
        <v>4977.3</v>
      </c>
    </row>
    <row r="586" spans="1:4" customFormat="1" x14ac:dyDescent="0.25">
      <c r="A586" s="5">
        <v>46314</v>
      </c>
      <c r="B586" s="3">
        <v>101</v>
      </c>
      <c r="C586" s="3" t="s">
        <v>158</v>
      </c>
      <c r="D586" s="6">
        <v>1476.75</v>
      </c>
    </row>
    <row r="587" spans="1:4" customFormat="1" x14ac:dyDescent="0.25">
      <c r="A587" s="5">
        <v>46314</v>
      </c>
      <c r="B587" s="3">
        <v>101</v>
      </c>
      <c r="C587" s="3" t="s">
        <v>66</v>
      </c>
      <c r="D587" s="6">
        <v>588.88</v>
      </c>
    </row>
    <row r="588" spans="1:4" customFormat="1" x14ac:dyDescent="0.25">
      <c r="A588" s="5">
        <v>46314</v>
      </c>
      <c r="B588" s="3">
        <v>101</v>
      </c>
      <c r="C588" s="3" t="s">
        <v>30</v>
      </c>
      <c r="D588" s="6">
        <v>11019</v>
      </c>
    </row>
    <row r="589" spans="1:4" customFormat="1" x14ac:dyDescent="0.25">
      <c r="A589" s="5">
        <v>46314</v>
      </c>
      <c r="B589" s="3">
        <v>101</v>
      </c>
      <c r="C589" s="3" t="s">
        <v>123</v>
      </c>
      <c r="D589" s="6">
        <v>1697.12</v>
      </c>
    </row>
    <row r="590" spans="1:4" customFormat="1" x14ac:dyDescent="0.25">
      <c r="A590" s="5">
        <v>46314</v>
      </c>
      <c r="B590" s="3">
        <v>101</v>
      </c>
      <c r="C590" s="3" t="s">
        <v>17</v>
      </c>
      <c r="D590" s="6">
        <v>511.2</v>
      </c>
    </row>
    <row r="591" spans="1:4" customFormat="1" x14ac:dyDescent="0.25">
      <c r="A591" s="5">
        <v>46314</v>
      </c>
      <c r="B591" s="3">
        <v>101</v>
      </c>
      <c r="C591" s="3" t="s">
        <v>126</v>
      </c>
      <c r="D591" s="6">
        <v>7325.81</v>
      </c>
    </row>
    <row r="592" spans="1:4" customFormat="1" x14ac:dyDescent="0.25">
      <c r="A592" s="5">
        <v>46314</v>
      </c>
      <c r="B592" s="3">
        <v>101</v>
      </c>
      <c r="C592" s="3" t="s">
        <v>16</v>
      </c>
      <c r="D592" s="6">
        <v>17289.98</v>
      </c>
    </row>
    <row r="593" spans="1:4" customFormat="1" x14ac:dyDescent="0.25">
      <c r="A593" s="5">
        <v>46314</v>
      </c>
      <c r="B593" s="3">
        <v>101</v>
      </c>
      <c r="C593" s="3" t="s">
        <v>65</v>
      </c>
      <c r="D593" s="6">
        <v>23280</v>
      </c>
    </row>
    <row r="594" spans="1:4" customFormat="1" x14ac:dyDescent="0.25">
      <c r="A594" s="5">
        <v>46314</v>
      </c>
      <c r="B594" s="3">
        <v>101</v>
      </c>
      <c r="C594" s="3" t="s">
        <v>82</v>
      </c>
      <c r="D594" s="6">
        <v>740.39</v>
      </c>
    </row>
    <row r="595" spans="1:4" customFormat="1" x14ac:dyDescent="0.25">
      <c r="A595" s="5">
        <v>46314</v>
      </c>
      <c r="B595" s="3">
        <v>101</v>
      </c>
      <c r="C595" s="3" t="s">
        <v>83</v>
      </c>
      <c r="D595" s="6">
        <v>420</v>
      </c>
    </row>
    <row r="596" spans="1:4" customFormat="1" x14ac:dyDescent="0.25">
      <c r="A596" s="5">
        <v>46314</v>
      </c>
      <c r="B596" s="3">
        <v>101</v>
      </c>
      <c r="C596" s="3" t="s">
        <v>1</v>
      </c>
      <c r="D596" s="6">
        <v>209.72</v>
      </c>
    </row>
    <row r="597" spans="1:4" customFormat="1" x14ac:dyDescent="0.25">
      <c r="A597" s="5">
        <v>46314</v>
      </c>
      <c r="B597" s="3">
        <v>101</v>
      </c>
      <c r="C597" s="3" t="s">
        <v>1</v>
      </c>
      <c r="D597" s="6">
        <v>6516.26</v>
      </c>
    </row>
    <row r="598" spans="1:4" customFormat="1" x14ac:dyDescent="0.25">
      <c r="A598" s="5">
        <v>46314</v>
      </c>
      <c r="B598" s="3">
        <v>101</v>
      </c>
      <c r="C598" s="3" t="s">
        <v>67</v>
      </c>
      <c r="D598" s="6">
        <v>1572.23</v>
      </c>
    </row>
    <row r="599" spans="1:4" customFormat="1" x14ac:dyDescent="0.25">
      <c r="A599" s="5">
        <v>46314</v>
      </c>
      <c r="B599" s="3">
        <v>101</v>
      </c>
      <c r="C599" s="3" t="s">
        <v>50</v>
      </c>
      <c r="D599" s="6">
        <v>15153.08</v>
      </c>
    </row>
    <row r="600" spans="1:4" customFormat="1" x14ac:dyDescent="0.25">
      <c r="A600" s="5">
        <v>46314</v>
      </c>
      <c r="B600" s="3">
        <v>101</v>
      </c>
      <c r="C600" s="3" t="s">
        <v>35</v>
      </c>
      <c r="D600" s="6">
        <v>1267.3599999999999</v>
      </c>
    </row>
    <row r="601" spans="1:4" customFormat="1" x14ac:dyDescent="0.25">
      <c r="A601" s="5">
        <v>46314</v>
      </c>
      <c r="B601" s="3">
        <v>101</v>
      </c>
      <c r="C601" s="3" t="s">
        <v>35</v>
      </c>
      <c r="D601" s="6">
        <v>1276.5999999999999</v>
      </c>
    </row>
    <row r="602" spans="1:4" customFormat="1" x14ac:dyDescent="0.25">
      <c r="A602" s="5">
        <v>46314</v>
      </c>
      <c r="B602" s="3">
        <v>101</v>
      </c>
      <c r="C602" s="3" t="s">
        <v>35</v>
      </c>
      <c r="D602" s="6">
        <v>3834.6</v>
      </c>
    </row>
    <row r="603" spans="1:4" customFormat="1" x14ac:dyDescent="0.25">
      <c r="A603" s="5">
        <v>46314</v>
      </c>
      <c r="B603" s="3">
        <v>101</v>
      </c>
      <c r="C603" s="3" t="s">
        <v>151</v>
      </c>
      <c r="D603" s="6">
        <v>1721.8</v>
      </c>
    </row>
    <row r="604" spans="1:4" customFormat="1" x14ac:dyDescent="0.25">
      <c r="A604" s="5">
        <v>46314</v>
      </c>
      <c r="B604" s="3">
        <v>101</v>
      </c>
      <c r="C604" s="3" t="s">
        <v>107</v>
      </c>
      <c r="D604" s="6">
        <v>614.28</v>
      </c>
    </row>
    <row r="605" spans="1:4" customFormat="1" x14ac:dyDescent="0.25">
      <c r="A605" s="5">
        <v>46314</v>
      </c>
      <c r="B605" s="3">
        <v>101</v>
      </c>
      <c r="C605" s="3" t="s">
        <v>59</v>
      </c>
      <c r="D605" s="6">
        <v>1367.07</v>
      </c>
    </row>
    <row r="606" spans="1:4" customFormat="1" x14ac:dyDescent="0.25">
      <c r="A606" s="5">
        <v>46314</v>
      </c>
      <c r="B606" s="3">
        <v>101</v>
      </c>
      <c r="C606" s="3" t="s">
        <v>19</v>
      </c>
      <c r="D606" s="6">
        <v>1008.8</v>
      </c>
    </row>
    <row r="607" spans="1:4" customFormat="1" x14ac:dyDescent="0.25">
      <c r="A607" s="5">
        <v>46314</v>
      </c>
      <c r="B607" s="3">
        <v>101</v>
      </c>
      <c r="C607" s="3" t="s">
        <v>111</v>
      </c>
      <c r="D607" s="6">
        <v>4350.58</v>
      </c>
    </row>
    <row r="608" spans="1:4" customFormat="1" x14ac:dyDescent="0.25">
      <c r="A608" s="5">
        <v>46314</v>
      </c>
      <c r="B608" s="3">
        <v>101</v>
      </c>
      <c r="C608" s="3" t="s">
        <v>18</v>
      </c>
      <c r="D608" s="6">
        <v>6077.7</v>
      </c>
    </row>
    <row r="609" spans="1:4" customFormat="1" x14ac:dyDescent="0.25">
      <c r="A609" s="5">
        <v>46314</v>
      </c>
      <c r="B609" s="3">
        <v>101</v>
      </c>
      <c r="C609" s="3" t="s">
        <v>18</v>
      </c>
      <c r="D609" s="6">
        <v>11619</v>
      </c>
    </row>
    <row r="610" spans="1:4" customFormat="1" x14ac:dyDescent="0.25">
      <c r="A610" s="5">
        <v>46314</v>
      </c>
      <c r="B610" s="3">
        <v>101</v>
      </c>
      <c r="C610" s="3" t="s">
        <v>7</v>
      </c>
      <c r="D610" s="6">
        <v>2385.3000000000002</v>
      </c>
    </row>
    <row r="611" spans="1:4" customFormat="1" x14ac:dyDescent="0.25">
      <c r="A611" s="5">
        <v>46314</v>
      </c>
      <c r="B611" s="3">
        <v>101</v>
      </c>
      <c r="C611" s="3" t="s">
        <v>32</v>
      </c>
      <c r="D611" s="6">
        <v>31621.85</v>
      </c>
    </row>
    <row r="612" spans="1:4" customFormat="1" x14ac:dyDescent="0.25">
      <c r="A612" s="5">
        <v>46314</v>
      </c>
      <c r="B612" s="3">
        <v>101</v>
      </c>
      <c r="C612" s="3" t="s">
        <v>49</v>
      </c>
      <c r="D612" s="6">
        <v>68322.289999999994</v>
      </c>
    </row>
    <row r="613" spans="1:4" customFormat="1" x14ac:dyDescent="0.25">
      <c r="A613" s="5">
        <v>46314</v>
      </c>
      <c r="B613" s="3">
        <v>101</v>
      </c>
      <c r="C613" s="3" t="s">
        <v>130</v>
      </c>
      <c r="D613" s="6">
        <v>711.6</v>
      </c>
    </row>
    <row r="614" spans="1:4" customFormat="1" x14ac:dyDescent="0.25">
      <c r="A614" s="5">
        <v>46314</v>
      </c>
      <c r="B614" s="3">
        <v>101</v>
      </c>
      <c r="C614" s="3" t="s">
        <v>4</v>
      </c>
      <c r="D614" s="6">
        <v>35261.879999999997</v>
      </c>
    </row>
    <row r="615" spans="1:4" customFormat="1" x14ac:dyDescent="0.25">
      <c r="A615" s="5">
        <v>46314</v>
      </c>
      <c r="B615" s="3">
        <v>101</v>
      </c>
      <c r="C615" s="3" t="s">
        <v>4</v>
      </c>
      <c r="D615" s="6">
        <v>6738.02</v>
      </c>
    </row>
    <row r="616" spans="1:4" customFormat="1" x14ac:dyDescent="0.25">
      <c r="A616" s="5">
        <v>46314</v>
      </c>
      <c r="B616" s="3">
        <v>101</v>
      </c>
      <c r="C616" s="3" t="s">
        <v>4</v>
      </c>
      <c r="D616" s="6">
        <v>796.2</v>
      </c>
    </row>
    <row r="617" spans="1:4" customFormat="1" x14ac:dyDescent="0.25">
      <c r="A617" s="5">
        <v>46314</v>
      </c>
      <c r="B617" s="3">
        <v>101</v>
      </c>
      <c r="C617" s="3" t="s">
        <v>70</v>
      </c>
      <c r="D617" s="6">
        <v>25840</v>
      </c>
    </row>
    <row r="618" spans="1:4" customFormat="1" x14ac:dyDescent="0.25">
      <c r="A618" s="5">
        <v>46314</v>
      </c>
      <c r="B618" s="3">
        <v>101</v>
      </c>
      <c r="C618" s="3" t="s">
        <v>215</v>
      </c>
      <c r="D618" s="6">
        <v>1044.56</v>
      </c>
    </row>
    <row r="619" spans="1:4" x14ac:dyDescent="0.25">
      <c r="A619" s="4">
        <v>46315</v>
      </c>
      <c r="B619" s="3">
        <v>101</v>
      </c>
      <c r="C619" s="3" t="s">
        <v>199</v>
      </c>
      <c r="D619" s="6">
        <v>13323.95</v>
      </c>
    </row>
    <row r="620" spans="1:4" x14ac:dyDescent="0.25">
      <c r="A620" s="4">
        <v>46315</v>
      </c>
      <c r="B620" s="3">
        <v>101</v>
      </c>
      <c r="C620" s="3" t="s">
        <v>200</v>
      </c>
      <c r="D620" s="6">
        <v>-55768.84</v>
      </c>
    </row>
    <row r="621" spans="1:4" x14ac:dyDescent="0.25">
      <c r="A621" s="4">
        <v>46315</v>
      </c>
      <c r="B621" s="3">
        <v>101</v>
      </c>
      <c r="C621" s="3" t="s">
        <v>200</v>
      </c>
      <c r="D621" s="6">
        <v>55838.54</v>
      </c>
    </row>
    <row r="622" spans="1:4" x14ac:dyDescent="0.25">
      <c r="A622" s="4">
        <v>46315</v>
      </c>
      <c r="B622" s="3">
        <v>101</v>
      </c>
      <c r="C622" s="3" t="s">
        <v>94</v>
      </c>
      <c r="D622" s="6">
        <v>4080</v>
      </c>
    </row>
    <row r="623" spans="1:4" x14ac:dyDescent="0.25">
      <c r="A623" s="4">
        <v>46315</v>
      </c>
      <c r="B623" s="3">
        <v>101</v>
      </c>
      <c r="C623" s="3" t="s">
        <v>95</v>
      </c>
      <c r="D623" s="6">
        <v>3760.5</v>
      </c>
    </row>
    <row r="624" spans="1:4" x14ac:dyDescent="0.25">
      <c r="A624" s="4">
        <v>46315</v>
      </c>
      <c r="B624" s="3">
        <v>101</v>
      </c>
      <c r="C624" s="3" t="s">
        <v>10</v>
      </c>
      <c r="D624" s="6">
        <v>-3608</v>
      </c>
    </row>
    <row r="625" spans="1:4" x14ac:dyDescent="0.25">
      <c r="A625" s="4">
        <v>46315</v>
      </c>
      <c r="B625" s="3">
        <v>101</v>
      </c>
      <c r="C625" s="3" t="s">
        <v>10</v>
      </c>
      <c r="D625" s="6">
        <v>7985.15</v>
      </c>
    </row>
    <row r="626" spans="1:4" x14ac:dyDescent="0.25">
      <c r="A626" s="4">
        <v>46315</v>
      </c>
      <c r="B626" s="3">
        <v>101</v>
      </c>
      <c r="C626" s="3" t="s">
        <v>46</v>
      </c>
      <c r="D626" s="6">
        <v>2076.4699999999998</v>
      </c>
    </row>
    <row r="627" spans="1:4" x14ac:dyDescent="0.25">
      <c r="A627" s="4">
        <v>46315</v>
      </c>
      <c r="B627" s="3">
        <v>101</v>
      </c>
      <c r="C627" s="3" t="s">
        <v>8</v>
      </c>
      <c r="D627" s="6">
        <v>5557.21</v>
      </c>
    </row>
    <row r="628" spans="1:4" x14ac:dyDescent="0.25">
      <c r="A628" s="4">
        <v>46315</v>
      </c>
      <c r="B628" s="3">
        <v>101</v>
      </c>
      <c r="C628" s="3" t="s">
        <v>68</v>
      </c>
      <c r="D628" s="6">
        <v>13847.99</v>
      </c>
    </row>
    <row r="629" spans="1:4" x14ac:dyDescent="0.25">
      <c r="A629" s="4">
        <v>46315</v>
      </c>
      <c r="B629" s="3">
        <v>101</v>
      </c>
      <c r="C629" s="3" t="s">
        <v>20</v>
      </c>
      <c r="D629" s="6">
        <v>214.82</v>
      </c>
    </row>
    <row r="630" spans="1:4" x14ac:dyDescent="0.25">
      <c r="A630" s="4">
        <v>46315</v>
      </c>
      <c r="B630" s="3">
        <v>101</v>
      </c>
      <c r="C630" s="3" t="s">
        <v>6</v>
      </c>
      <c r="D630" s="6">
        <v>1716</v>
      </c>
    </row>
    <row r="631" spans="1:4" x14ac:dyDescent="0.25">
      <c r="A631" s="4">
        <v>46315</v>
      </c>
      <c r="B631" s="3">
        <v>101</v>
      </c>
      <c r="C631" s="3" t="s">
        <v>31</v>
      </c>
      <c r="D631" s="6">
        <v>544.82000000000005</v>
      </c>
    </row>
    <row r="632" spans="1:4" x14ac:dyDescent="0.25">
      <c r="A632" s="4">
        <v>46315</v>
      </c>
      <c r="B632" s="3">
        <v>101</v>
      </c>
      <c r="C632" s="3" t="s">
        <v>57</v>
      </c>
      <c r="D632" s="6">
        <v>1990</v>
      </c>
    </row>
    <row r="633" spans="1:4" x14ac:dyDescent="0.25">
      <c r="A633" s="4">
        <v>46315</v>
      </c>
      <c r="B633" s="3">
        <v>101</v>
      </c>
      <c r="C633" s="3" t="s">
        <v>17</v>
      </c>
      <c r="D633" s="6">
        <v>25886.46</v>
      </c>
    </row>
    <row r="634" spans="1:4" x14ac:dyDescent="0.25">
      <c r="A634" s="4">
        <v>46315</v>
      </c>
      <c r="B634" s="3">
        <v>101</v>
      </c>
      <c r="C634" s="3" t="s">
        <v>126</v>
      </c>
      <c r="D634" s="6">
        <v>500.9</v>
      </c>
    </row>
    <row r="635" spans="1:4" x14ac:dyDescent="0.25">
      <c r="A635" s="4">
        <v>46315</v>
      </c>
      <c r="B635" s="3">
        <v>101</v>
      </c>
      <c r="C635" s="3" t="s">
        <v>16</v>
      </c>
      <c r="D635" s="6">
        <v>364.32</v>
      </c>
    </row>
    <row r="636" spans="1:4" x14ac:dyDescent="0.25">
      <c r="A636" s="4">
        <v>46315</v>
      </c>
      <c r="B636" s="3">
        <v>101</v>
      </c>
      <c r="C636" s="3" t="s">
        <v>44</v>
      </c>
      <c r="D636" s="6">
        <v>23277.06</v>
      </c>
    </row>
    <row r="637" spans="1:4" x14ac:dyDescent="0.25">
      <c r="A637" s="4">
        <v>46315</v>
      </c>
      <c r="B637" s="3">
        <v>101</v>
      </c>
      <c r="C637" s="3" t="s">
        <v>9</v>
      </c>
      <c r="D637" s="6">
        <v>513</v>
      </c>
    </row>
    <row r="638" spans="1:4" x14ac:dyDescent="0.25">
      <c r="A638" s="4">
        <v>46315</v>
      </c>
      <c r="B638" s="3">
        <v>101</v>
      </c>
      <c r="C638" s="3" t="s">
        <v>69</v>
      </c>
      <c r="D638" s="6">
        <v>21486.36</v>
      </c>
    </row>
    <row r="639" spans="1:4" ht="30" x14ac:dyDescent="0.25">
      <c r="A639" s="4">
        <v>46315</v>
      </c>
      <c r="B639" s="3">
        <v>101</v>
      </c>
      <c r="C639" s="3" t="s">
        <v>38</v>
      </c>
      <c r="D639" s="6">
        <v>-3775.5</v>
      </c>
    </row>
    <row r="640" spans="1:4" x14ac:dyDescent="0.25">
      <c r="A640" s="4">
        <v>46315</v>
      </c>
      <c r="B640" s="3">
        <v>101</v>
      </c>
      <c r="C640" s="3" t="s">
        <v>83</v>
      </c>
      <c r="D640" s="6">
        <v>14512.3</v>
      </c>
    </row>
    <row r="641" spans="1:4" x14ac:dyDescent="0.25">
      <c r="A641" s="4">
        <v>46315</v>
      </c>
      <c r="B641" s="3">
        <v>101</v>
      </c>
      <c r="C641" s="3" t="s">
        <v>41</v>
      </c>
      <c r="D641" s="6">
        <v>10216.86</v>
      </c>
    </row>
    <row r="642" spans="1:4" x14ac:dyDescent="0.25">
      <c r="A642" s="4">
        <v>46315</v>
      </c>
      <c r="B642" s="3">
        <v>101</v>
      </c>
      <c r="C642" s="3" t="s">
        <v>216</v>
      </c>
      <c r="D642" s="6">
        <v>3528.2</v>
      </c>
    </row>
    <row r="643" spans="1:4" x14ac:dyDescent="0.25">
      <c r="A643" s="4">
        <v>46315</v>
      </c>
      <c r="B643" s="3">
        <v>101</v>
      </c>
      <c r="C643" s="3" t="s">
        <v>1</v>
      </c>
      <c r="D643" s="6">
        <v>86365.37</v>
      </c>
    </row>
    <row r="644" spans="1:4" x14ac:dyDescent="0.25">
      <c r="A644" s="4">
        <v>46315</v>
      </c>
      <c r="B644" s="3">
        <v>101</v>
      </c>
      <c r="C644" s="3" t="s">
        <v>1</v>
      </c>
      <c r="D644" s="6">
        <v>7531.75</v>
      </c>
    </row>
    <row r="645" spans="1:4" x14ac:dyDescent="0.25">
      <c r="A645" s="4">
        <v>46315</v>
      </c>
      <c r="B645" s="3">
        <v>101</v>
      </c>
      <c r="C645" s="3" t="s">
        <v>150</v>
      </c>
      <c r="D645" s="6">
        <v>642.16</v>
      </c>
    </row>
    <row r="646" spans="1:4" x14ac:dyDescent="0.25">
      <c r="A646" s="4">
        <v>46315</v>
      </c>
      <c r="B646" s="3">
        <v>101</v>
      </c>
      <c r="C646" s="3" t="s">
        <v>11</v>
      </c>
      <c r="D646" s="6">
        <v>616.14</v>
      </c>
    </row>
    <row r="647" spans="1:4" x14ac:dyDescent="0.25">
      <c r="A647" s="4">
        <v>46315</v>
      </c>
      <c r="B647" s="3">
        <v>101</v>
      </c>
      <c r="C647" s="3" t="s">
        <v>85</v>
      </c>
      <c r="D647" s="6">
        <v>4333.8900000000003</v>
      </c>
    </row>
    <row r="648" spans="1:4" x14ac:dyDescent="0.25">
      <c r="A648" s="4">
        <v>46315</v>
      </c>
      <c r="B648" s="3">
        <v>101</v>
      </c>
      <c r="C648" s="3" t="s">
        <v>19</v>
      </c>
      <c r="D648" s="6">
        <v>2112</v>
      </c>
    </row>
    <row r="649" spans="1:4" x14ac:dyDescent="0.25">
      <c r="A649" s="4">
        <v>46315</v>
      </c>
      <c r="B649" s="3">
        <v>101</v>
      </c>
      <c r="C649" s="3" t="s">
        <v>19</v>
      </c>
      <c r="D649" s="6">
        <v>697.32</v>
      </c>
    </row>
    <row r="650" spans="1:4" x14ac:dyDescent="0.25">
      <c r="A650" s="4">
        <v>46315</v>
      </c>
      <c r="B650" s="3">
        <v>101</v>
      </c>
      <c r="C650" s="3" t="s">
        <v>110</v>
      </c>
      <c r="D650" s="6">
        <v>2693.24</v>
      </c>
    </row>
    <row r="651" spans="1:4" x14ac:dyDescent="0.25">
      <c r="A651" s="4">
        <v>46315</v>
      </c>
      <c r="B651" s="3">
        <v>101</v>
      </c>
      <c r="C651" s="3" t="s">
        <v>29</v>
      </c>
      <c r="D651" s="6">
        <v>28127.439999999999</v>
      </c>
    </row>
    <row r="652" spans="1:4" x14ac:dyDescent="0.25">
      <c r="A652" s="4">
        <v>46315</v>
      </c>
      <c r="B652" s="3">
        <v>101</v>
      </c>
      <c r="C652" s="3" t="s">
        <v>18</v>
      </c>
      <c r="D652" s="6">
        <v>5268.9</v>
      </c>
    </row>
    <row r="653" spans="1:4" x14ac:dyDescent="0.25">
      <c r="A653" s="4">
        <v>46315</v>
      </c>
      <c r="B653" s="3">
        <v>101</v>
      </c>
      <c r="C653" s="3" t="s">
        <v>18</v>
      </c>
      <c r="D653" s="6">
        <v>3558</v>
      </c>
    </row>
    <row r="654" spans="1:4" x14ac:dyDescent="0.25">
      <c r="A654" s="4">
        <v>46315</v>
      </c>
      <c r="B654" s="3">
        <v>101</v>
      </c>
      <c r="C654" s="3" t="s">
        <v>18</v>
      </c>
      <c r="D654" s="6">
        <v>2771.7</v>
      </c>
    </row>
    <row r="655" spans="1:4" x14ac:dyDescent="0.25">
      <c r="A655" s="4">
        <v>46315</v>
      </c>
      <c r="B655" s="3">
        <v>101</v>
      </c>
      <c r="C655" s="3" t="s">
        <v>18</v>
      </c>
      <c r="D655" s="6">
        <v>2805.96</v>
      </c>
    </row>
    <row r="656" spans="1:4" x14ac:dyDescent="0.25">
      <c r="A656" s="4">
        <v>46315</v>
      </c>
      <c r="B656" s="3">
        <v>101</v>
      </c>
      <c r="C656" s="3" t="s">
        <v>18</v>
      </c>
      <c r="D656" s="6">
        <v>1170.45</v>
      </c>
    </row>
    <row r="657" spans="1:4" x14ac:dyDescent="0.25">
      <c r="A657" s="4">
        <v>46315</v>
      </c>
      <c r="B657" s="3">
        <v>101</v>
      </c>
      <c r="C657" s="3" t="s">
        <v>18</v>
      </c>
      <c r="D657" s="6">
        <v>1281.8399999999999</v>
      </c>
    </row>
    <row r="658" spans="1:4" x14ac:dyDescent="0.25">
      <c r="A658" s="4">
        <v>46315</v>
      </c>
      <c r="B658" s="3">
        <v>101</v>
      </c>
      <c r="C658" s="3" t="s">
        <v>18</v>
      </c>
      <c r="D658" s="6">
        <v>2782.44</v>
      </c>
    </row>
    <row r="659" spans="1:4" x14ac:dyDescent="0.25">
      <c r="A659" s="4">
        <v>46315</v>
      </c>
      <c r="B659" s="3">
        <v>101</v>
      </c>
      <c r="C659" s="3" t="s">
        <v>18</v>
      </c>
      <c r="D659" s="6">
        <v>1303.49</v>
      </c>
    </row>
    <row r="660" spans="1:4" x14ac:dyDescent="0.25">
      <c r="A660" s="4">
        <v>46315</v>
      </c>
      <c r="B660" s="3">
        <v>101</v>
      </c>
      <c r="C660" s="3" t="s">
        <v>12</v>
      </c>
      <c r="D660" s="6">
        <v>7547.3</v>
      </c>
    </row>
    <row r="661" spans="1:4" x14ac:dyDescent="0.25">
      <c r="A661" s="4">
        <v>46315</v>
      </c>
      <c r="B661" s="3">
        <v>101</v>
      </c>
      <c r="C661" s="3" t="s">
        <v>61</v>
      </c>
      <c r="D661" s="6">
        <v>14854.77</v>
      </c>
    </row>
    <row r="662" spans="1:4" x14ac:dyDescent="0.25">
      <c r="A662" s="4">
        <v>46315</v>
      </c>
      <c r="B662" s="3">
        <v>101</v>
      </c>
      <c r="C662" s="3" t="s">
        <v>208</v>
      </c>
      <c r="D662" s="6">
        <v>6467.2</v>
      </c>
    </row>
    <row r="663" spans="1:4" x14ac:dyDescent="0.25">
      <c r="A663" s="4">
        <v>46315</v>
      </c>
      <c r="B663" s="3">
        <v>101</v>
      </c>
      <c r="C663" s="3" t="s">
        <v>115</v>
      </c>
      <c r="D663" s="6">
        <v>741</v>
      </c>
    </row>
    <row r="664" spans="1:4" x14ac:dyDescent="0.25">
      <c r="A664" s="4">
        <v>46315</v>
      </c>
      <c r="B664" s="3">
        <v>101</v>
      </c>
      <c r="C664" s="3" t="s">
        <v>217</v>
      </c>
      <c r="D664" s="6">
        <v>1899.2</v>
      </c>
    </row>
    <row r="665" spans="1:4" x14ac:dyDescent="0.25">
      <c r="A665" s="4">
        <v>46315</v>
      </c>
      <c r="B665" s="3">
        <v>101</v>
      </c>
      <c r="C665" s="3" t="s">
        <v>48</v>
      </c>
      <c r="D665" s="6">
        <v>673.31</v>
      </c>
    </row>
    <row r="666" spans="1:4" x14ac:dyDescent="0.25">
      <c r="A666" s="4">
        <v>46315</v>
      </c>
      <c r="B666" s="3">
        <v>101</v>
      </c>
      <c r="C666" s="3" t="s">
        <v>210</v>
      </c>
      <c r="D666" s="6">
        <v>43.04</v>
      </c>
    </row>
    <row r="667" spans="1:4" x14ac:dyDescent="0.25">
      <c r="A667" s="4">
        <v>46315</v>
      </c>
      <c r="B667" s="3">
        <v>101</v>
      </c>
      <c r="C667" s="3" t="s">
        <v>43</v>
      </c>
      <c r="D667" s="6">
        <v>1026.5899999999999</v>
      </c>
    </row>
    <row r="668" spans="1:4" x14ac:dyDescent="0.25">
      <c r="A668" s="4">
        <v>46315</v>
      </c>
      <c r="B668" s="3">
        <v>101</v>
      </c>
      <c r="C668" s="3" t="s">
        <v>218</v>
      </c>
      <c r="D668" s="6">
        <v>511.5</v>
      </c>
    </row>
    <row r="669" spans="1:4" x14ac:dyDescent="0.25">
      <c r="A669" s="4">
        <v>46315</v>
      </c>
      <c r="B669" s="3">
        <v>101</v>
      </c>
      <c r="C669" s="3" t="s">
        <v>5</v>
      </c>
      <c r="D669" s="6">
        <v>1920</v>
      </c>
    </row>
    <row r="670" spans="1:4" x14ac:dyDescent="0.25">
      <c r="A670" s="4">
        <v>46315</v>
      </c>
      <c r="B670" s="3">
        <v>101</v>
      </c>
      <c r="C670" s="3" t="s">
        <v>129</v>
      </c>
      <c r="D670" s="6">
        <v>1912.5</v>
      </c>
    </row>
    <row r="671" spans="1:4" x14ac:dyDescent="0.25">
      <c r="A671" s="4">
        <v>46315</v>
      </c>
      <c r="B671" s="3">
        <v>101</v>
      </c>
      <c r="C671" s="3" t="s">
        <v>2</v>
      </c>
      <c r="D671" s="6">
        <v>1021.5</v>
      </c>
    </row>
    <row r="672" spans="1:4" x14ac:dyDescent="0.25">
      <c r="A672" s="4">
        <v>46315</v>
      </c>
      <c r="B672" s="3">
        <v>101</v>
      </c>
      <c r="C672" s="3" t="s">
        <v>219</v>
      </c>
      <c r="D672" s="6">
        <v>5005.8</v>
      </c>
    </row>
    <row r="673" spans="1:4" x14ac:dyDescent="0.25">
      <c r="A673" s="4">
        <v>46315</v>
      </c>
      <c r="B673" s="3">
        <v>101</v>
      </c>
      <c r="C673" s="3" t="s">
        <v>4</v>
      </c>
      <c r="D673" s="6">
        <v>68825.39</v>
      </c>
    </row>
    <row r="674" spans="1:4" x14ac:dyDescent="0.25">
      <c r="A674" s="4">
        <v>46315</v>
      </c>
      <c r="B674" s="3">
        <v>101</v>
      </c>
      <c r="C674" s="3" t="s">
        <v>4</v>
      </c>
      <c r="D674" s="6">
        <v>205.45</v>
      </c>
    </row>
    <row r="675" spans="1:4" x14ac:dyDescent="0.25">
      <c r="A675" s="4">
        <v>46315</v>
      </c>
      <c r="B675" s="3">
        <v>101</v>
      </c>
      <c r="C675" s="3" t="s">
        <v>70</v>
      </c>
      <c r="D675" s="6">
        <v>14159.4</v>
      </c>
    </row>
    <row r="676" spans="1:4" x14ac:dyDescent="0.25">
      <c r="A676" s="4">
        <v>46316</v>
      </c>
      <c r="B676" s="3">
        <v>101</v>
      </c>
      <c r="C676" s="3" t="s">
        <v>174</v>
      </c>
      <c r="D676" s="6">
        <v>52362.9</v>
      </c>
    </row>
    <row r="677" spans="1:4" x14ac:dyDescent="0.25">
      <c r="A677" s="4">
        <v>46316</v>
      </c>
      <c r="B677" s="3">
        <v>101</v>
      </c>
      <c r="C677" s="3" t="s">
        <v>136</v>
      </c>
      <c r="D677" s="6">
        <v>733.5</v>
      </c>
    </row>
    <row r="678" spans="1:4" x14ac:dyDescent="0.25">
      <c r="A678" s="4">
        <v>46316</v>
      </c>
      <c r="B678" s="3">
        <v>101</v>
      </c>
      <c r="C678" s="3" t="s">
        <v>137</v>
      </c>
      <c r="D678" s="6">
        <v>539.01</v>
      </c>
    </row>
    <row r="679" spans="1:4" x14ac:dyDescent="0.25">
      <c r="A679" s="4">
        <v>46316</v>
      </c>
      <c r="B679" s="3">
        <v>101</v>
      </c>
      <c r="C679" s="3" t="s">
        <v>121</v>
      </c>
      <c r="D679" s="6">
        <v>650.49</v>
      </c>
    </row>
    <row r="680" spans="1:4" x14ac:dyDescent="0.25">
      <c r="A680" s="4">
        <v>46316</v>
      </c>
      <c r="B680" s="3">
        <v>101</v>
      </c>
      <c r="C680" s="3" t="s">
        <v>138</v>
      </c>
      <c r="D680" s="6">
        <v>579</v>
      </c>
    </row>
    <row r="681" spans="1:4" x14ac:dyDescent="0.25">
      <c r="A681" s="4">
        <v>46316</v>
      </c>
      <c r="B681" s="3">
        <v>101</v>
      </c>
      <c r="C681" s="3" t="s">
        <v>122</v>
      </c>
      <c r="D681" s="6">
        <v>979.59</v>
      </c>
    </row>
    <row r="682" spans="1:4" x14ac:dyDescent="0.25">
      <c r="A682" s="4">
        <v>46316</v>
      </c>
      <c r="B682" s="3">
        <v>101</v>
      </c>
      <c r="C682" s="3" t="s">
        <v>45</v>
      </c>
      <c r="D682" s="6">
        <v>7699.01</v>
      </c>
    </row>
    <row r="683" spans="1:4" x14ac:dyDescent="0.25">
      <c r="A683" s="4">
        <v>46316</v>
      </c>
      <c r="B683" s="3">
        <v>101</v>
      </c>
      <c r="C683" s="3" t="s">
        <v>94</v>
      </c>
      <c r="D683" s="6">
        <v>4080</v>
      </c>
    </row>
    <row r="684" spans="1:4" x14ac:dyDescent="0.25">
      <c r="A684" s="4">
        <v>46316</v>
      </c>
      <c r="B684" s="3">
        <v>101</v>
      </c>
      <c r="C684" s="3" t="s">
        <v>95</v>
      </c>
      <c r="D684" s="6">
        <v>3760.5</v>
      </c>
    </row>
    <row r="685" spans="1:4" x14ac:dyDescent="0.25">
      <c r="A685" s="4">
        <v>46316</v>
      </c>
      <c r="B685" s="3">
        <v>101</v>
      </c>
      <c r="C685" s="3" t="s">
        <v>10</v>
      </c>
      <c r="D685" s="6">
        <v>65871.62</v>
      </c>
    </row>
    <row r="686" spans="1:4" x14ac:dyDescent="0.25">
      <c r="A686" s="4">
        <v>46316</v>
      </c>
      <c r="B686" s="3">
        <v>101</v>
      </c>
      <c r="C686" s="3" t="s">
        <v>189</v>
      </c>
      <c r="D686" s="6">
        <v>239.53</v>
      </c>
    </row>
    <row r="687" spans="1:4" x14ac:dyDescent="0.25">
      <c r="A687" s="4">
        <v>46316</v>
      </c>
      <c r="B687" s="3">
        <v>101</v>
      </c>
      <c r="C687" s="3" t="s">
        <v>6</v>
      </c>
      <c r="D687" s="6">
        <v>2965</v>
      </c>
    </row>
    <row r="688" spans="1:4" x14ac:dyDescent="0.25">
      <c r="A688" s="4">
        <v>46316</v>
      </c>
      <c r="B688" s="3">
        <v>101</v>
      </c>
      <c r="C688" s="3" t="s">
        <v>28</v>
      </c>
      <c r="D688" s="6">
        <v>2836.51</v>
      </c>
    </row>
    <row r="689" spans="1:4" x14ac:dyDescent="0.25">
      <c r="A689" s="4">
        <v>46316</v>
      </c>
      <c r="B689" s="3">
        <v>101</v>
      </c>
      <c r="C689" s="3" t="s">
        <v>58</v>
      </c>
      <c r="D689" s="6">
        <v>29025.5</v>
      </c>
    </row>
    <row r="690" spans="1:4" x14ac:dyDescent="0.25">
      <c r="A690" s="4">
        <v>46316</v>
      </c>
      <c r="B690" s="3">
        <v>101</v>
      </c>
      <c r="C690" s="3" t="s">
        <v>60</v>
      </c>
      <c r="D690" s="6">
        <v>4968</v>
      </c>
    </row>
    <row r="691" spans="1:4" x14ac:dyDescent="0.25">
      <c r="A691" s="4">
        <v>46316</v>
      </c>
      <c r="B691" s="3">
        <v>101</v>
      </c>
      <c r="C691" s="3" t="s">
        <v>17</v>
      </c>
      <c r="D691" s="6">
        <v>-1625</v>
      </c>
    </row>
    <row r="692" spans="1:4" x14ac:dyDescent="0.25">
      <c r="A692" s="4">
        <v>46316</v>
      </c>
      <c r="B692" s="3">
        <v>101</v>
      </c>
      <c r="C692" s="3" t="s">
        <v>17</v>
      </c>
      <c r="D692" s="6">
        <v>150</v>
      </c>
    </row>
    <row r="693" spans="1:4" x14ac:dyDescent="0.25">
      <c r="A693" s="4">
        <v>46316</v>
      </c>
      <c r="B693" s="3">
        <v>101</v>
      </c>
      <c r="C693" s="3" t="s">
        <v>81</v>
      </c>
      <c r="D693" s="6">
        <v>2520</v>
      </c>
    </row>
    <row r="694" spans="1:4" x14ac:dyDescent="0.25">
      <c r="A694" s="4">
        <v>46316</v>
      </c>
      <c r="B694" s="3">
        <v>101</v>
      </c>
      <c r="C694" s="3" t="s">
        <v>126</v>
      </c>
      <c r="D694" s="6">
        <v>-500.9</v>
      </c>
    </row>
    <row r="695" spans="1:4" x14ac:dyDescent="0.25">
      <c r="A695" s="4">
        <v>46316</v>
      </c>
      <c r="B695" s="3">
        <v>101</v>
      </c>
      <c r="C695" s="3" t="s">
        <v>126</v>
      </c>
      <c r="D695" s="6">
        <v>5772.09</v>
      </c>
    </row>
    <row r="696" spans="1:4" x14ac:dyDescent="0.25">
      <c r="A696" s="4">
        <v>46316</v>
      </c>
      <c r="B696" s="3">
        <v>101</v>
      </c>
      <c r="C696" s="3" t="s">
        <v>16</v>
      </c>
      <c r="D696" s="6">
        <v>1091.42</v>
      </c>
    </row>
    <row r="697" spans="1:4" x14ac:dyDescent="0.25">
      <c r="A697" s="4">
        <v>46316</v>
      </c>
      <c r="B697" s="3">
        <v>101</v>
      </c>
      <c r="C697" s="3" t="s">
        <v>9</v>
      </c>
      <c r="D697" s="6">
        <v>13836.2</v>
      </c>
    </row>
    <row r="698" spans="1:4" x14ac:dyDescent="0.25">
      <c r="A698" s="4">
        <v>46316</v>
      </c>
      <c r="B698" s="3">
        <v>101</v>
      </c>
      <c r="C698" s="3" t="s">
        <v>69</v>
      </c>
      <c r="D698" s="6">
        <v>3891.09</v>
      </c>
    </row>
    <row r="699" spans="1:4" ht="30" x14ac:dyDescent="0.25">
      <c r="A699" s="4">
        <v>46316</v>
      </c>
      <c r="B699" s="3">
        <v>101</v>
      </c>
      <c r="C699" s="3" t="s">
        <v>38</v>
      </c>
      <c r="D699" s="6">
        <v>-7027.68</v>
      </c>
    </row>
    <row r="700" spans="1:4" ht="30" x14ac:dyDescent="0.25">
      <c r="A700" s="4">
        <v>46316</v>
      </c>
      <c r="B700" s="3">
        <v>101</v>
      </c>
      <c r="C700" s="3" t="s">
        <v>38</v>
      </c>
      <c r="D700" s="6">
        <v>26872.07</v>
      </c>
    </row>
    <row r="701" spans="1:4" x14ac:dyDescent="0.25">
      <c r="A701" s="4">
        <v>46316</v>
      </c>
      <c r="B701" s="3">
        <v>101</v>
      </c>
      <c r="C701" s="3" t="s">
        <v>41</v>
      </c>
      <c r="D701" s="6">
        <v>11888.17</v>
      </c>
    </row>
    <row r="702" spans="1:4" x14ac:dyDescent="0.25">
      <c r="A702" s="4">
        <v>46316</v>
      </c>
      <c r="B702" s="3">
        <v>101</v>
      </c>
      <c r="C702" s="3" t="s">
        <v>220</v>
      </c>
      <c r="D702" s="6">
        <v>2100</v>
      </c>
    </row>
    <row r="703" spans="1:4" x14ac:dyDescent="0.25">
      <c r="A703" s="4">
        <v>46316</v>
      </c>
      <c r="B703" s="3">
        <v>101</v>
      </c>
      <c r="C703" s="3" t="s">
        <v>221</v>
      </c>
      <c r="D703" s="6">
        <v>-10339.959999999999</v>
      </c>
    </row>
    <row r="704" spans="1:4" x14ac:dyDescent="0.25">
      <c r="A704" s="4">
        <v>46316</v>
      </c>
      <c r="B704" s="3">
        <v>101</v>
      </c>
      <c r="C704" s="3" t="s">
        <v>11</v>
      </c>
      <c r="D704" s="6">
        <v>1533.96</v>
      </c>
    </row>
    <row r="705" spans="1:4" x14ac:dyDescent="0.25">
      <c r="A705" s="4">
        <v>46316</v>
      </c>
      <c r="B705" s="3">
        <v>101</v>
      </c>
      <c r="C705" s="3" t="s">
        <v>21</v>
      </c>
      <c r="D705" s="6">
        <v>3617.46</v>
      </c>
    </row>
    <row r="706" spans="1:4" x14ac:dyDescent="0.25">
      <c r="A706" s="4">
        <v>46316</v>
      </c>
      <c r="B706" s="3">
        <v>101</v>
      </c>
      <c r="C706" s="3" t="s">
        <v>85</v>
      </c>
      <c r="D706" s="6">
        <v>-5147.3999999999996</v>
      </c>
    </row>
    <row r="707" spans="1:4" x14ac:dyDescent="0.25">
      <c r="A707" s="4">
        <v>46316</v>
      </c>
      <c r="B707" s="3">
        <v>101</v>
      </c>
      <c r="C707" s="3" t="s">
        <v>85</v>
      </c>
      <c r="D707" s="6">
        <v>81796.06</v>
      </c>
    </row>
    <row r="708" spans="1:4" x14ac:dyDescent="0.25">
      <c r="A708" s="4">
        <v>46316</v>
      </c>
      <c r="B708" s="3">
        <v>101</v>
      </c>
      <c r="C708" s="3" t="s">
        <v>59</v>
      </c>
      <c r="D708" s="6">
        <v>1639.96</v>
      </c>
    </row>
    <row r="709" spans="1:4" x14ac:dyDescent="0.25">
      <c r="A709" s="4">
        <v>46316</v>
      </c>
      <c r="B709" s="3">
        <v>101</v>
      </c>
      <c r="C709" s="3" t="s">
        <v>19</v>
      </c>
      <c r="D709" s="6">
        <v>697.32</v>
      </c>
    </row>
    <row r="710" spans="1:4" x14ac:dyDescent="0.25">
      <c r="A710" s="4">
        <v>46316</v>
      </c>
      <c r="B710" s="3">
        <v>101</v>
      </c>
      <c r="C710" s="3" t="s">
        <v>29</v>
      </c>
      <c r="D710" s="6">
        <v>28127.439999999999</v>
      </c>
    </row>
    <row r="711" spans="1:4" x14ac:dyDescent="0.25">
      <c r="A711" s="4">
        <v>46316</v>
      </c>
      <c r="B711" s="3">
        <v>101</v>
      </c>
      <c r="C711" s="3" t="s">
        <v>40</v>
      </c>
      <c r="D711" s="6">
        <v>11770.06</v>
      </c>
    </row>
    <row r="712" spans="1:4" x14ac:dyDescent="0.25">
      <c r="A712" s="4">
        <v>46316</v>
      </c>
      <c r="B712" s="3">
        <v>101</v>
      </c>
      <c r="C712" s="3" t="s">
        <v>12</v>
      </c>
      <c r="D712" s="6">
        <v>4590.1400000000003</v>
      </c>
    </row>
    <row r="713" spans="1:4" x14ac:dyDescent="0.25">
      <c r="A713" s="4">
        <v>46316</v>
      </c>
      <c r="B713" s="3">
        <v>101</v>
      </c>
      <c r="C713" s="3" t="s">
        <v>61</v>
      </c>
      <c r="D713" s="6">
        <v>8070.92</v>
      </c>
    </row>
    <row r="714" spans="1:4" x14ac:dyDescent="0.25">
      <c r="A714" s="4">
        <v>46316</v>
      </c>
      <c r="B714" s="3">
        <v>101</v>
      </c>
      <c r="C714" s="3" t="s">
        <v>222</v>
      </c>
      <c r="D714" s="6">
        <v>17442.8</v>
      </c>
    </row>
    <row r="715" spans="1:4" x14ac:dyDescent="0.25">
      <c r="A715" s="4">
        <v>46316</v>
      </c>
      <c r="B715" s="3">
        <v>101</v>
      </c>
      <c r="C715" s="3" t="s">
        <v>43</v>
      </c>
      <c r="D715" s="6">
        <v>598.83000000000004</v>
      </c>
    </row>
    <row r="716" spans="1:4" x14ac:dyDescent="0.25">
      <c r="A716" s="4">
        <v>46316</v>
      </c>
      <c r="B716" s="3">
        <v>101</v>
      </c>
      <c r="C716" s="3" t="s">
        <v>2</v>
      </c>
      <c r="D716" s="6">
        <v>80536.3</v>
      </c>
    </row>
    <row r="717" spans="1:4" x14ac:dyDescent="0.25">
      <c r="A717" s="4">
        <v>46316</v>
      </c>
      <c r="B717" s="3">
        <v>101</v>
      </c>
      <c r="C717" s="3" t="s">
        <v>4</v>
      </c>
      <c r="D717" s="6">
        <v>54056.1</v>
      </c>
    </row>
    <row r="718" spans="1:4" x14ac:dyDescent="0.25">
      <c r="A718" s="4">
        <v>46316</v>
      </c>
      <c r="B718" s="3">
        <v>101</v>
      </c>
      <c r="C718" s="3" t="s">
        <v>4</v>
      </c>
      <c r="D718" s="6">
        <v>5345.41</v>
      </c>
    </row>
    <row r="719" spans="1:4" x14ac:dyDescent="0.25">
      <c r="A719" s="4">
        <v>46316</v>
      </c>
      <c r="B719" s="3">
        <v>101</v>
      </c>
      <c r="C719" s="3" t="s">
        <v>4</v>
      </c>
      <c r="D719" s="6">
        <v>1728.45</v>
      </c>
    </row>
    <row r="720" spans="1:4" x14ac:dyDescent="0.25">
      <c r="A720" s="4">
        <v>46316</v>
      </c>
      <c r="B720" s="3">
        <v>101</v>
      </c>
      <c r="C720" s="3" t="s">
        <v>4</v>
      </c>
      <c r="D720" s="6">
        <v>1588.1</v>
      </c>
    </row>
    <row r="721" spans="1:4" x14ac:dyDescent="0.25">
      <c r="A721" s="4">
        <v>46316</v>
      </c>
      <c r="B721" s="3">
        <v>101</v>
      </c>
      <c r="C721" s="3" t="s">
        <v>4</v>
      </c>
      <c r="D721" s="6">
        <v>417.71</v>
      </c>
    </row>
    <row r="722" spans="1:4" x14ac:dyDescent="0.25">
      <c r="A722" s="4">
        <v>46317</v>
      </c>
      <c r="B722" s="3">
        <v>101</v>
      </c>
      <c r="C722" s="3" t="s">
        <v>223</v>
      </c>
      <c r="D722" s="6">
        <v>441.25</v>
      </c>
    </row>
    <row r="723" spans="1:4" x14ac:dyDescent="0.25">
      <c r="A723" s="4">
        <v>46317</v>
      </c>
      <c r="B723" s="3">
        <v>101</v>
      </c>
      <c r="C723" s="3" t="s">
        <v>201</v>
      </c>
      <c r="D723" s="6">
        <v>2541.48</v>
      </c>
    </row>
    <row r="724" spans="1:4" x14ac:dyDescent="0.25">
      <c r="A724" s="4">
        <v>46317</v>
      </c>
      <c r="B724" s="3">
        <v>101</v>
      </c>
      <c r="C724" s="3" t="s">
        <v>174</v>
      </c>
      <c r="D724" s="6">
        <v>65735.14</v>
      </c>
    </row>
    <row r="725" spans="1:4" x14ac:dyDescent="0.25">
      <c r="A725" s="4">
        <v>46317</v>
      </c>
      <c r="B725" s="3">
        <v>101</v>
      </c>
      <c r="C725" s="3" t="s">
        <v>88</v>
      </c>
      <c r="D725" s="6">
        <v>2043.84</v>
      </c>
    </row>
    <row r="726" spans="1:4" x14ac:dyDescent="0.25">
      <c r="A726" s="4">
        <v>46317</v>
      </c>
      <c r="B726" s="3">
        <v>101</v>
      </c>
      <c r="C726" s="3" t="s">
        <v>89</v>
      </c>
      <c r="D726" s="6">
        <v>786.75</v>
      </c>
    </row>
    <row r="727" spans="1:4" x14ac:dyDescent="0.25">
      <c r="A727" s="4">
        <v>46317</v>
      </c>
      <c r="B727" s="3">
        <v>101</v>
      </c>
      <c r="C727" s="3" t="s">
        <v>90</v>
      </c>
      <c r="D727" s="6">
        <v>830.16</v>
      </c>
    </row>
    <row r="728" spans="1:4" x14ac:dyDescent="0.25">
      <c r="A728" s="4">
        <v>46317</v>
      </c>
      <c r="B728" s="3">
        <v>101</v>
      </c>
      <c r="C728" s="3" t="s">
        <v>91</v>
      </c>
      <c r="D728" s="6">
        <v>843.96</v>
      </c>
    </row>
    <row r="729" spans="1:4" x14ac:dyDescent="0.25">
      <c r="A729" s="4">
        <v>46317</v>
      </c>
      <c r="B729" s="3">
        <v>101</v>
      </c>
      <c r="C729" s="3" t="s">
        <v>92</v>
      </c>
      <c r="D729" s="6">
        <v>545.1</v>
      </c>
    </row>
    <row r="730" spans="1:4" x14ac:dyDescent="0.25">
      <c r="A730" s="4">
        <v>46317</v>
      </c>
      <c r="B730" s="3">
        <v>101</v>
      </c>
      <c r="C730" s="3" t="s">
        <v>45</v>
      </c>
      <c r="D730" s="6">
        <v>1459.08</v>
      </c>
    </row>
    <row r="731" spans="1:4" x14ac:dyDescent="0.25">
      <c r="A731" s="4">
        <v>46317</v>
      </c>
      <c r="B731" s="3">
        <v>101</v>
      </c>
      <c r="C731" s="3" t="s">
        <v>224</v>
      </c>
      <c r="D731" s="6">
        <v>521.79</v>
      </c>
    </row>
    <row r="732" spans="1:4" x14ac:dyDescent="0.25">
      <c r="A732" s="4">
        <v>46317</v>
      </c>
      <c r="B732" s="3">
        <v>101</v>
      </c>
      <c r="C732" s="3" t="s">
        <v>10</v>
      </c>
      <c r="D732" s="6">
        <v>-5500</v>
      </c>
    </row>
    <row r="733" spans="1:4" x14ac:dyDescent="0.25">
      <c r="A733" s="4">
        <v>46317</v>
      </c>
      <c r="B733" s="3">
        <v>101</v>
      </c>
      <c r="C733" s="3" t="s">
        <v>10</v>
      </c>
      <c r="D733" s="6">
        <v>2164.8000000000002</v>
      </c>
    </row>
    <row r="734" spans="1:4" x14ac:dyDescent="0.25">
      <c r="A734" s="4">
        <v>46317</v>
      </c>
      <c r="B734" s="3">
        <v>101</v>
      </c>
      <c r="C734" s="3" t="s">
        <v>3</v>
      </c>
      <c r="D734" s="6">
        <v>4009.93</v>
      </c>
    </row>
    <row r="735" spans="1:4" x14ac:dyDescent="0.25">
      <c r="A735" s="4">
        <v>46317</v>
      </c>
      <c r="B735" s="3">
        <v>101</v>
      </c>
      <c r="C735" s="3" t="s">
        <v>225</v>
      </c>
      <c r="D735" s="6">
        <v>1839.68</v>
      </c>
    </row>
    <row r="736" spans="1:4" x14ac:dyDescent="0.25">
      <c r="A736" s="4">
        <v>46317</v>
      </c>
      <c r="B736" s="3">
        <v>101</v>
      </c>
      <c r="C736" s="3" t="s">
        <v>68</v>
      </c>
      <c r="D736" s="6">
        <v>308.22000000000003</v>
      </c>
    </row>
    <row r="737" spans="1:4" x14ac:dyDescent="0.25">
      <c r="A737" s="4">
        <v>46317</v>
      </c>
      <c r="B737" s="3">
        <v>101</v>
      </c>
      <c r="C737" s="3" t="s">
        <v>28</v>
      </c>
      <c r="D737" s="6">
        <v>7007.6</v>
      </c>
    </row>
    <row r="738" spans="1:4" x14ac:dyDescent="0.25">
      <c r="A738" s="4">
        <v>46317</v>
      </c>
      <c r="B738" s="3">
        <v>101</v>
      </c>
      <c r="C738" s="3" t="s">
        <v>226</v>
      </c>
      <c r="D738" s="6">
        <v>2709.5</v>
      </c>
    </row>
    <row r="739" spans="1:4" x14ac:dyDescent="0.25">
      <c r="A739" s="4">
        <v>46317</v>
      </c>
      <c r="B739" s="3">
        <v>101</v>
      </c>
      <c r="C739" s="3" t="s">
        <v>227</v>
      </c>
      <c r="D739" s="6">
        <v>574.05999999999995</v>
      </c>
    </row>
    <row r="740" spans="1:4" x14ac:dyDescent="0.25">
      <c r="A740" s="4">
        <v>46317</v>
      </c>
      <c r="B740" s="3">
        <v>101</v>
      </c>
      <c r="C740" s="3" t="s">
        <v>17</v>
      </c>
      <c r="D740" s="6">
        <v>-21187.200000000001</v>
      </c>
    </row>
    <row r="741" spans="1:4" x14ac:dyDescent="0.25">
      <c r="A741" s="4">
        <v>46317</v>
      </c>
      <c r="B741" s="3">
        <v>101</v>
      </c>
      <c r="C741" s="3" t="s">
        <v>17</v>
      </c>
      <c r="D741" s="6">
        <v>21622.85</v>
      </c>
    </row>
    <row r="742" spans="1:4" x14ac:dyDescent="0.25">
      <c r="A742" s="4">
        <v>46317</v>
      </c>
      <c r="B742" s="3">
        <v>101</v>
      </c>
      <c r="C742" s="3" t="s">
        <v>162</v>
      </c>
      <c r="D742" s="6">
        <v>16735.2</v>
      </c>
    </row>
    <row r="743" spans="1:4" x14ac:dyDescent="0.25">
      <c r="A743" s="4">
        <v>46317</v>
      </c>
      <c r="B743" s="3">
        <v>101</v>
      </c>
      <c r="C743" s="3" t="s">
        <v>81</v>
      </c>
      <c r="D743" s="6">
        <v>2625</v>
      </c>
    </row>
    <row r="744" spans="1:4" x14ac:dyDescent="0.25">
      <c r="A744" s="4">
        <v>46317</v>
      </c>
      <c r="B744" s="3">
        <v>101</v>
      </c>
      <c r="C744" s="3" t="s">
        <v>126</v>
      </c>
      <c r="D744" s="6">
        <v>2910.24</v>
      </c>
    </row>
    <row r="745" spans="1:4" x14ac:dyDescent="0.25">
      <c r="A745" s="4">
        <v>46317</v>
      </c>
      <c r="B745" s="3">
        <v>101</v>
      </c>
      <c r="C745" s="3" t="s">
        <v>228</v>
      </c>
      <c r="D745" s="6">
        <v>2027</v>
      </c>
    </row>
    <row r="746" spans="1:4" x14ac:dyDescent="0.25">
      <c r="A746" s="4">
        <v>46317</v>
      </c>
      <c r="B746" s="3">
        <v>101</v>
      </c>
      <c r="C746" s="3" t="s">
        <v>9</v>
      </c>
      <c r="D746" s="6">
        <v>24310.45</v>
      </c>
    </row>
    <row r="747" spans="1:4" x14ac:dyDescent="0.25">
      <c r="A747" s="4">
        <v>46317</v>
      </c>
      <c r="B747" s="3">
        <v>101</v>
      </c>
      <c r="C747" s="3" t="s">
        <v>69</v>
      </c>
      <c r="D747" s="6">
        <v>26660.98</v>
      </c>
    </row>
    <row r="748" spans="1:4" ht="30" x14ac:dyDescent="0.25">
      <c r="A748" s="4">
        <v>46317</v>
      </c>
      <c r="B748" s="3">
        <v>101</v>
      </c>
      <c r="C748" s="3" t="s">
        <v>38</v>
      </c>
      <c r="D748" s="6">
        <v>23469.9</v>
      </c>
    </row>
    <row r="749" spans="1:4" x14ac:dyDescent="0.25">
      <c r="A749" s="4">
        <v>46317</v>
      </c>
      <c r="B749" s="3">
        <v>101</v>
      </c>
      <c r="C749" s="3" t="s">
        <v>83</v>
      </c>
      <c r="D749" s="6">
        <v>340</v>
      </c>
    </row>
    <row r="750" spans="1:4" x14ac:dyDescent="0.25">
      <c r="A750" s="4">
        <v>46317</v>
      </c>
      <c r="B750" s="3">
        <v>101</v>
      </c>
      <c r="C750" s="3" t="s">
        <v>41</v>
      </c>
      <c r="D750" s="6">
        <v>14008.38</v>
      </c>
    </row>
    <row r="751" spans="1:4" x14ac:dyDescent="0.25">
      <c r="A751" s="4">
        <v>46317</v>
      </c>
      <c r="B751" s="3">
        <v>101</v>
      </c>
      <c r="C751" s="3" t="s">
        <v>1</v>
      </c>
      <c r="D751" s="6">
        <v>55170.18</v>
      </c>
    </row>
    <row r="752" spans="1:4" x14ac:dyDescent="0.25">
      <c r="A752" s="4">
        <v>46317</v>
      </c>
      <c r="B752" s="3">
        <v>101</v>
      </c>
      <c r="C752" s="3" t="s">
        <v>35</v>
      </c>
      <c r="D752" s="6">
        <v>1204.92</v>
      </c>
    </row>
    <row r="753" spans="1:4" x14ac:dyDescent="0.25">
      <c r="A753" s="4">
        <v>46317</v>
      </c>
      <c r="B753" s="3">
        <v>101</v>
      </c>
      <c r="C753" s="3" t="s">
        <v>11</v>
      </c>
      <c r="D753" s="6">
        <v>1174.3</v>
      </c>
    </row>
    <row r="754" spans="1:4" x14ac:dyDescent="0.25">
      <c r="A754" s="4">
        <v>46317</v>
      </c>
      <c r="B754" s="3">
        <v>101</v>
      </c>
      <c r="C754" s="3" t="s">
        <v>229</v>
      </c>
      <c r="D754" s="6">
        <v>1015.86</v>
      </c>
    </row>
    <row r="755" spans="1:4" x14ac:dyDescent="0.25">
      <c r="A755" s="4">
        <v>46317</v>
      </c>
      <c r="B755" s="3">
        <v>101</v>
      </c>
      <c r="C755" s="3" t="s">
        <v>109</v>
      </c>
      <c r="D755" s="6">
        <v>577</v>
      </c>
    </row>
    <row r="756" spans="1:4" x14ac:dyDescent="0.25">
      <c r="A756" s="4">
        <v>46317</v>
      </c>
      <c r="B756" s="3">
        <v>101</v>
      </c>
      <c r="C756" s="3" t="s">
        <v>19</v>
      </c>
      <c r="D756" s="6">
        <v>2364.34</v>
      </c>
    </row>
    <row r="757" spans="1:4" x14ac:dyDescent="0.25">
      <c r="A757" s="4">
        <v>46317</v>
      </c>
      <c r="B757" s="3">
        <v>101</v>
      </c>
      <c r="C757" s="3" t="s">
        <v>19</v>
      </c>
      <c r="D757" s="6">
        <v>2560.8000000000002</v>
      </c>
    </row>
    <row r="758" spans="1:4" x14ac:dyDescent="0.25">
      <c r="A758" s="4">
        <v>46317</v>
      </c>
      <c r="B758" s="3">
        <v>101</v>
      </c>
      <c r="C758" s="3" t="s">
        <v>19</v>
      </c>
      <c r="D758" s="6">
        <v>12354</v>
      </c>
    </row>
    <row r="759" spans="1:4" x14ac:dyDescent="0.25">
      <c r="A759" s="4">
        <v>46317</v>
      </c>
      <c r="B759" s="3">
        <v>101</v>
      </c>
      <c r="C759" s="3" t="s">
        <v>19</v>
      </c>
      <c r="D759" s="6">
        <v>5799</v>
      </c>
    </row>
    <row r="760" spans="1:4" x14ac:dyDescent="0.25">
      <c r="A760" s="4">
        <v>46317</v>
      </c>
      <c r="B760" s="3">
        <v>101</v>
      </c>
      <c r="C760" s="3" t="s">
        <v>53</v>
      </c>
      <c r="D760" s="6">
        <v>3368.48</v>
      </c>
    </row>
    <row r="761" spans="1:4" x14ac:dyDescent="0.25">
      <c r="A761" s="4">
        <v>46317</v>
      </c>
      <c r="B761" s="3">
        <v>101</v>
      </c>
      <c r="C761" s="3" t="s">
        <v>128</v>
      </c>
      <c r="D761" s="6">
        <v>26.56</v>
      </c>
    </row>
    <row r="762" spans="1:4" x14ac:dyDescent="0.25">
      <c r="A762" s="4">
        <v>46317</v>
      </c>
      <c r="B762" s="3">
        <v>101</v>
      </c>
      <c r="C762" s="3" t="s">
        <v>18</v>
      </c>
      <c r="D762" s="6">
        <v>2564.25</v>
      </c>
    </row>
    <row r="763" spans="1:4" x14ac:dyDescent="0.25">
      <c r="A763" s="4">
        <v>46317</v>
      </c>
      <c r="B763" s="3">
        <v>101</v>
      </c>
      <c r="C763" s="3" t="s">
        <v>18</v>
      </c>
      <c r="D763" s="6">
        <v>1370.04</v>
      </c>
    </row>
    <row r="764" spans="1:4" x14ac:dyDescent="0.25">
      <c r="A764" s="4">
        <v>46317</v>
      </c>
      <c r="B764" s="3">
        <v>101</v>
      </c>
      <c r="C764" s="3" t="s">
        <v>113</v>
      </c>
      <c r="D764" s="6">
        <v>23317</v>
      </c>
    </row>
    <row r="765" spans="1:4" x14ac:dyDescent="0.25">
      <c r="A765" s="4">
        <v>46317</v>
      </c>
      <c r="B765" s="3">
        <v>101</v>
      </c>
      <c r="C765" s="3" t="s">
        <v>195</v>
      </c>
      <c r="D765" s="6">
        <v>5564.88</v>
      </c>
    </row>
    <row r="766" spans="1:4" x14ac:dyDescent="0.25">
      <c r="A766" s="4">
        <v>46317</v>
      </c>
      <c r="B766" s="3">
        <v>101</v>
      </c>
      <c r="C766" s="3" t="s">
        <v>208</v>
      </c>
      <c r="D766" s="6">
        <v>5898.15</v>
      </c>
    </row>
    <row r="767" spans="1:4" x14ac:dyDescent="0.25">
      <c r="A767" s="4">
        <v>46317</v>
      </c>
      <c r="B767" s="3">
        <v>101</v>
      </c>
      <c r="C767" s="3" t="s">
        <v>230</v>
      </c>
      <c r="D767" s="6">
        <v>759.68</v>
      </c>
    </row>
    <row r="768" spans="1:4" x14ac:dyDescent="0.25">
      <c r="A768" s="4">
        <v>46317</v>
      </c>
      <c r="B768" s="3">
        <v>101</v>
      </c>
      <c r="C768" s="3" t="s">
        <v>152</v>
      </c>
      <c r="D768" s="6">
        <v>300</v>
      </c>
    </row>
    <row r="769" spans="1:4" x14ac:dyDescent="0.25">
      <c r="A769" s="4">
        <v>46317</v>
      </c>
      <c r="B769" s="3">
        <v>101</v>
      </c>
      <c r="C769" s="3" t="s">
        <v>72</v>
      </c>
      <c r="D769" s="6">
        <v>188000</v>
      </c>
    </row>
    <row r="770" spans="1:4" x14ac:dyDescent="0.25">
      <c r="A770" s="4">
        <v>46317</v>
      </c>
      <c r="B770" s="3">
        <v>101</v>
      </c>
      <c r="C770" s="3" t="s">
        <v>231</v>
      </c>
      <c r="D770" s="6">
        <v>4816.38</v>
      </c>
    </row>
    <row r="771" spans="1:4" ht="30" x14ac:dyDescent="0.25">
      <c r="A771" s="4">
        <v>46317</v>
      </c>
      <c r="B771" s="3">
        <v>101</v>
      </c>
      <c r="C771" s="3" t="s">
        <v>232</v>
      </c>
      <c r="D771" s="6">
        <v>31353.99</v>
      </c>
    </row>
    <row r="772" spans="1:4" x14ac:dyDescent="0.25">
      <c r="A772" s="4">
        <v>46317</v>
      </c>
      <c r="B772" s="3">
        <v>101</v>
      </c>
      <c r="C772" s="3" t="s">
        <v>233</v>
      </c>
      <c r="D772" s="6">
        <v>1118</v>
      </c>
    </row>
    <row r="773" spans="1:4" x14ac:dyDescent="0.25">
      <c r="A773" s="4">
        <v>46317</v>
      </c>
      <c r="B773" s="3">
        <v>101</v>
      </c>
      <c r="C773" s="3" t="s">
        <v>4</v>
      </c>
      <c r="D773" s="6">
        <v>327.39999999999998</v>
      </c>
    </row>
    <row r="774" spans="1:4" x14ac:dyDescent="0.25">
      <c r="A774" s="4">
        <v>46317</v>
      </c>
      <c r="B774" s="3">
        <v>101</v>
      </c>
      <c r="C774" s="3" t="s">
        <v>4</v>
      </c>
      <c r="D774" s="6">
        <v>15926</v>
      </c>
    </row>
    <row r="775" spans="1:4" x14ac:dyDescent="0.25">
      <c r="A775" s="4">
        <v>46317</v>
      </c>
      <c r="B775" s="3">
        <v>101</v>
      </c>
      <c r="C775" s="3" t="s">
        <v>4</v>
      </c>
      <c r="D775" s="6">
        <v>8867.6299999999992</v>
      </c>
    </row>
    <row r="776" spans="1:4" x14ac:dyDescent="0.25">
      <c r="A776" s="4">
        <v>46317</v>
      </c>
      <c r="B776" s="3">
        <v>101</v>
      </c>
      <c r="C776" s="3" t="s">
        <v>4</v>
      </c>
      <c r="D776" s="6">
        <v>152.6</v>
      </c>
    </row>
    <row r="777" spans="1:4" x14ac:dyDescent="0.25">
      <c r="A777" s="4">
        <v>46317</v>
      </c>
      <c r="B777" s="3">
        <v>101</v>
      </c>
      <c r="C777" s="3" t="s">
        <v>4</v>
      </c>
      <c r="D777" s="6">
        <v>643.29999999999995</v>
      </c>
    </row>
    <row r="778" spans="1:4" x14ac:dyDescent="0.25">
      <c r="A778" s="4">
        <v>46317</v>
      </c>
      <c r="B778" s="3">
        <v>101</v>
      </c>
      <c r="C778" s="3" t="s">
        <v>4</v>
      </c>
      <c r="D778" s="6">
        <v>409.95</v>
      </c>
    </row>
    <row r="779" spans="1:4" x14ac:dyDescent="0.25">
      <c r="A779" s="4">
        <v>46317</v>
      </c>
      <c r="B779" s="3">
        <v>101</v>
      </c>
      <c r="C779" s="3" t="s">
        <v>4</v>
      </c>
      <c r="D779" s="6">
        <v>2011.85</v>
      </c>
    </row>
    <row r="780" spans="1:4" x14ac:dyDescent="0.25">
      <c r="A780" s="4">
        <v>46317</v>
      </c>
      <c r="B780" s="3">
        <v>101</v>
      </c>
      <c r="C780" s="3" t="s">
        <v>4</v>
      </c>
      <c r="D780" s="6">
        <v>2105.9</v>
      </c>
    </row>
    <row r="781" spans="1:4" x14ac:dyDescent="0.25">
      <c r="A781" s="4">
        <v>46317</v>
      </c>
      <c r="B781" s="3">
        <v>101</v>
      </c>
      <c r="C781" s="3" t="s">
        <v>4</v>
      </c>
      <c r="D781" s="6">
        <v>1700.4</v>
      </c>
    </row>
    <row r="782" spans="1:4" x14ac:dyDescent="0.25">
      <c r="A782" s="4">
        <v>46317</v>
      </c>
      <c r="B782" s="3">
        <v>101</v>
      </c>
      <c r="C782" s="3" t="s">
        <v>4</v>
      </c>
      <c r="D782" s="6">
        <v>3235.92</v>
      </c>
    </row>
    <row r="783" spans="1:4" x14ac:dyDescent="0.25">
      <c r="A783" s="4">
        <v>46317</v>
      </c>
      <c r="B783" s="3">
        <v>101</v>
      </c>
      <c r="C783" s="3" t="s">
        <v>4</v>
      </c>
      <c r="D783" s="6">
        <v>179.85</v>
      </c>
    </row>
    <row r="784" spans="1:4" x14ac:dyDescent="0.25">
      <c r="A784" s="4">
        <v>46317</v>
      </c>
      <c r="B784" s="3">
        <v>101</v>
      </c>
      <c r="C784" s="3" t="s">
        <v>4</v>
      </c>
      <c r="D784" s="6">
        <v>29806</v>
      </c>
    </row>
    <row r="785" spans="1:4" x14ac:dyDescent="0.25">
      <c r="A785" s="4">
        <v>46317</v>
      </c>
      <c r="B785" s="3">
        <v>101</v>
      </c>
      <c r="C785" s="3" t="s">
        <v>42</v>
      </c>
      <c r="D785" s="6">
        <v>2043.13</v>
      </c>
    </row>
    <row r="786" spans="1:4" x14ac:dyDescent="0.25">
      <c r="A786" s="4">
        <v>46318</v>
      </c>
      <c r="B786" s="3">
        <v>101</v>
      </c>
      <c r="C786" s="3" t="s">
        <v>200</v>
      </c>
      <c r="D786" s="6">
        <v>6482.29</v>
      </c>
    </row>
    <row r="787" spans="1:4" x14ac:dyDescent="0.25">
      <c r="A787" s="4">
        <v>46318</v>
      </c>
      <c r="B787" s="3">
        <v>101</v>
      </c>
      <c r="C787" s="3" t="s">
        <v>201</v>
      </c>
      <c r="D787" s="6">
        <v>3734.99</v>
      </c>
    </row>
    <row r="788" spans="1:4" x14ac:dyDescent="0.25">
      <c r="A788" s="4">
        <v>46318</v>
      </c>
      <c r="B788" s="3">
        <v>101</v>
      </c>
      <c r="C788" s="3" t="s">
        <v>10</v>
      </c>
      <c r="D788" s="6">
        <v>3388.45</v>
      </c>
    </row>
    <row r="789" spans="1:4" x14ac:dyDescent="0.25">
      <c r="A789" s="4">
        <v>46318</v>
      </c>
      <c r="B789" s="3">
        <v>101</v>
      </c>
      <c r="C789" s="3" t="s">
        <v>46</v>
      </c>
      <c r="D789" s="6">
        <v>1830.25</v>
      </c>
    </row>
    <row r="790" spans="1:4" x14ac:dyDescent="0.25">
      <c r="A790" s="4">
        <v>46318</v>
      </c>
      <c r="B790" s="3">
        <v>101</v>
      </c>
      <c r="C790" s="3" t="s">
        <v>234</v>
      </c>
      <c r="D790" s="6">
        <v>4233.4399999999996</v>
      </c>
    </row>
    <row r="791" spans="1:4" x14ac:dyDescent="0.25">
      <c r="A791" s="4">
        <v>46318</v>
      </c>
      <c r="B791" s="3">
        <v>101</v>
      </c>
      <c r="C791" s="3" t="s">
        <v>6</v>
      </c>
      <c r="D791" s="6">
        <v>2359.8200000000002</v>
      </c>
    </row>
    <row r="792" spans="1:4" x14ac:dyDescent="0.25">
      <c r="A792" s="4">
        <v>46318</v>
      </c>
      <c r="B792" s="3">
        <v>101</v>
      </c>
      <c r="C792" s="3" t="s">
        <v>181</v>
      </c>
      <c r="D792" s="6">
        <v>62.38</v>
      </c>
    </row>
    <row r="793" spans="1:4" x14ac:dyDescent="0.25">
      <c r="A793" s="4">
        <v>46318</v>
      </c>
      <c r="B793" s="3">
        <v>101</v>
      </c>
      <c r="C793" s="3" t="s">
        <v>30</v>
      </c>
      <c r="D793" s="6">
        <v>18390.54</v>
      </c>
    </row>
    <row r="794" spans="1:4" x14ac:dyDescent="0.25">
      <c r="A794" s="4">
        <v>46318</v>
      </c>
      <c r="B794" s="3">
        <v>101</v>
      </c>
      <c r="C794" s="3" t="s">
        <v>182</v>
      </c>
      <c r="D794" s="6">
        <v>-5109.24</v>
      </c>
    </row>
    <row r="795" spans="1:4" x14ac:dyDescent="0.25">
      <c r="A795" s="4">
        <v>46318</v>
      </c>
      <c r="B795" s="3">
        <v>101</v>
      </c>
      <c r="C795" s="3" t="s">
        <v>144</v>
      </c>
      <c r="D795" s="6">
        <v>1169.6300000000001</v>
      </c>
    </row>
    <row r="796" spans="1:4" x14ac:dyDescent="0.25">
      <c r="A796" s="4">
        <v>46318</v>
      </c>
      <c r="B796" s="3">
        <v>101</v>
      </c>
      <c r="C796" s="3" t="s">
        <v>25</v>
      </c>
      <c r="D796" s="6">
        <v>4069.44</v>
      </c>
    </row>
    <row r="797" spans="1:4" x14ac:dyDescent="0.25">
      <c r="A797" s="4">
        <v>46318</v>
      </c>
      <c r="B797" s="3">
        <v>101</v>
      </c>
      <c r="C797" s="3" t="s">
        <v>146</v>
      </c>
      <c r="D797" s="6">
        <v>6860.52</v>
      </c>
    </row>
    <row r="798" spans="1:4" x14ac:dyDescent="0.25">
      <c r="A798" s="4">
        <v>46318</v>
      </c>
      <c r="B798" s="3">
        <v>101</v>
      </c>
      <c r="C798" s="3" t="s">
        <v>17</v>
      </c>
      <c r="D798" s="6">
        <v>17075.599999999999</v>
      </c>
    </row>
    <row r="799" spans="1:4" x14ac:dyDescent="0.25">
      <c r="A799" s="4">
        <v>46318</v>
      </c>
      <c r="B799" s="3">
        <v>101</v>
      </c>
      <c r="C799" s="3" t="s">
        <v>33</v>
      </c>
      <c r="D799" s="6">
        <v>629.70000000000005</v>
      </c>
    </row>
    <row r="800" spans="1:4" x14ac:dyDescent="0.25">
      <c r="A800" s="4">
        <v>46318</v>
      </c>
      <c r="B800" s="3">
        <v>101</v>
      </c>
      <c r="C800" s="3" t="s">
        <v>65</v>
      </c>
      <c r="D800" s="6">
        <v>23280</v>
      </c>
    </row>
    <row r="801" spans="1:4" x14ac:dyDescent="0.25">
      <c r="A801" s="4">
        <v>46318</v>
      </c>
      <c r="B801" s="3">
        <v>101</v>
      </c>
      <c r="C801" s="3" t="s">
        <v>9</v>
      </c>
      <c r="D801" s="6">
        <v>-14507.95</v>
      </c>
    </row>
    <row r="802" spans="1:4" x14ac:dyDescent="0.25">
      <c r="A802" s="4">
        <v>46318</v>
      </c>
      <c r="B802" s="3">
        <v>101</v>
      </c>
      <c r="C802" s="3" t="s">
        <v>69</v>
      </c>
      <c r="D802" s="6">
        <v>30772.58</v>
      </c>
    </row>
    <row r="803" spans="1:4" ht="30" x14ac:dyDescent="0.25">
      <c r="A803" s="4">
        <v>46318</v>
      </c>
      <c r="B803" s="3">
        <v>101</v>
      </c>
      <c r="C803" s="3" t="s">
        <v>38</v>
      </c>
      <c r="D803" s="6">
        <v>4565.7700000000004</v>
      </c>
    </row>
    <row r="804" spans="1:4" x14ac:dyDescent="0.25">
      <c r="A804" s="4">
        <v>46318</v>
      </c>
      <c r="B804" s="3">
        <v>101</v>
      </c>
      <c r="C804" s="3" t="s">
        <v>83</v>
      </c>
      <c r="D804" s="6">
        <v>340</v>
      </c>
    </row>
    <row r="805" spans="1:4" x14ac:dyDescent="0.25">
      <c r="A805" s="4">
        <v>46318</v>
      </c>
      <c r="B805" s="3">
        <v>101</v>
      </c>
      <c r="C805" s="3" t="s">
        <v>1</v>
      </c>
      <c r="D805" s="6">
        <v>3718.6</v>
      </c>
    </row>
    <row r="806" spans="1:4" x14ac:dyDescent="0.25">
      <c r="A806" s="4">
        <v>46318</v>
      </c>
      <c r="B806" s="3">
        <v>101</v>
      </c>
      <c r="C806" s="3" t="s">
        <v>1</v>
      </c>
      <c r="D806" s="6">
        <v>484</v>
      </c>
    </row>
    <row r="807" spans="1:4" x14ac:dyDescent="0.25">
      <c r="A807" s="4">
        <v>46318</v>
      </c>
      <c r="B807" s="3">
        <v>101</v>
      </c>
      <c r="C807" s="3" t="s">
        <v>150</v>
      </c>
      <c r="D807" s="6">
        <v>23535.3</v>
      </c>
    </row>
    <row r="808" spans="1:4" x14ac:dyDescent="0.25">
      <c r="A808" s="4">
        <v>46318</v>
      </c>
      <c r="B808" s="3">
        <v>101</v>
      </c>
      <c r="C808" s="3" t="s">
        <v>235</v>
      </c>
      <c r="D808" s="6">
        <v>1324.51</v>
      </c>
    </row>
    <row r="809" spans="1:4" x14ac:dyDescent="0.25">
      <c r="A809" s="4">
        <v>46318</v>
      </c>
      <c r="B809" s="3">
        <v>101</v>
      </c>
      <c r="C809" s="3" t="s">
        <v>105</v>
      </c>
      <c r="D809" s="6">
        <v>2430.8000000000002</v>
      </c>
    </row>
    <row r="810" spans="1:4" x14ac:dyDescent="0.25">
      <c r="A810" s="4">
        <v>46318</v>
      </c>
      <c r="B810" s="3">
        <v>101</v>
      </c>
      <c r="C810" s="3" t="s">
        <v>105</v>
      </c>
      <c r="D810" s="6">
        <v>9221</v>
      </c>
    </row>
    <row r="811" spans="1:4" x14ac:dyDescent="0.25">
      <c r="A811" s="4">
        <v>46318</v>
      </c>
      <c r="B811" s="3">
        <v>101</v>
      </c>
      <c r="C811" s="3" t="s">
        <v>35</v>
      </c>
      <c r="D811" s="6">
        <v>1003.3</v>
      </c>
    </row>
    <row r="812" spans="1:4" x14ac:dyDescent="0.25">
      <c r="A812" s="4">
        <v>46318</v>
      </c>
      <c r="B812" s="3">
        <v>101</v>
      </c>
      <c r="C812" s="3" t="s">
        <v>11</v>
      </c>
      <c r="D812" s="6">
        <v>1186.92</v>
      </c>
    </row>
    <row r="813" spans="1:4" x14ac:dyDescent="0.25">
      <c r="A813" s="4">
        <v>46318</v>
      </c>
      <c r="B813" s="3">
        <v>101</v>
      </c>
      <c r="C813" s="3" t="s">
        <v>11</v>
      </c>
      <c r="D813" s="6">
        <v>4779.62</v>
      </c>
    </row>
    <row r="814" spans="1:4" x14ac:dyDescent="0.25">
      <c r="A814" s="4">
        <v>46318</v>
      </c>
      <c r="B814" s="3">
        <v>101</v>
      </c>
      <c r="C814" s="3" t="s">
        <v>84</v>
      </c>
      <c r="D814" s="6">
        <v>7.55</v>
      </c>
    </row>
    <row r="815" spans="1:4" x14ac:dyDescent="0.25">
      <c r="A815" s="4">
        <v>46318</v>
      </c>
      <c r="B815" s="3">
        <v>101</v>
      </c>
      <c r="C815" s="3" t="s">
        <v>21</v>
      </c>
      <c r="D815" s="6">
        <v>1836.69</v>
      </c>
    </row>
    <row r="816" spans="1:4" x14ac:dyDescent="0.25">
      <c r="A816" s="4">
        <v>46318</v>
      </c>
      <c r="B816" s="3">
        <v>101</v>
      </c>
      <c r="C816" s="3" t="s">
        <v>26</v>
      </c>
      <c r="D816" s="6">
        <v>1251.8499999999999</v>
      </c>
    </row>
    <row r="817" spans="1:4" x14ac:dyDescent="0.25">
      <c r="A817" s="4">
        <v>46318</v>
      </c>
      <c r="B817" s="3">
        <v>101</v>
      </c>
      <c r="C817" s="3" t="s">
        <v>108</v>
      </c>
      <c r="D817" s="6">
        <v>562.20000000000005</v>
      </c>
    </row>
    <row r="818" spans="1:4" x14ac:dyDescent="0.25">
      <c r="A818" s="4">
        <v>46318</v>
      </c>
      <c r="B818" s="3">
        <v>101</v>
      </c>
      <c r="C818" s="3" t="s">
        <v>22</v>
      </c>
      <c r="D818" s="6">
        <v>2790.95</v>
      </c>
    </row>
    <row r="819" spans="1:4" x14ac:dyDescent="0.25">
      <c r="A819" s="4">
        <v>46318</v>
      </c>
      <c r="B819" s="3">
        <v>101</v>
      </c>
      <c r="C819" s="3" t="s">
        <v>19</v>
      </c>
      <c r="D819" s="6">
        <v>18450.2</v>
      </c>
    </row>
    <row r="820" spans="1:4" x14ac:dyDescent="0.25">
      <c r="A820" s="4">
        <v>46318</v>
      </c>
      <c r="B820" s="3">
        <v>101</v>
      </c>
      <c r="C820" s="3" t="s">
        <v>19</v>
      </c>
      <c r="D820" s="6">
        <v>1783.2</v>
      </c>
    </row>
    <row r="821" spans="1:4" x14ac:dyDescent="0.25">
      <c r="A821" s="4">
        <v>46318</v>
      </c>
      <c r="B821" s="3">
        <v>101</v>
      </c>
      <c r="C821" s="3" t="s">
        <v>111</v>
      </c>
      <c r="D821" s="6">
        <v>1808.11</v>
      </c>
    </row>
    <row r="822" spans="1:4" x14ac:dyDescent="0.25">
      <c r="A822" s="4">
        <v>46318</v>
      </c>
      <c r="B822" s="3">
        <v>101</v>
      </c>
      <c r="C822" s="3" t="s">
        <v>128</v>
      </c>
      <c r="D822" s="6">
        <v>469.15</v>
      </c>
    </row>
    <row r="823" spans="1:4" x14ac:dyDescent="0.25">
      <c r="A823" s="4">
        <v>46318</v>
      </c>
      <c r="B823" s="3">
        <v>101</v>
      </c>
      <c r="C823" s="3" t="s">
        <v>18</v>
      </c>
      <c r="D823" s="6">
        <v>2848.8</v>
      </c>
    </row>
    <row r="824" spans="1:4" x14ac:dyDescent="0.25">
      <c r="A824" s="4">
        <v>46318</v>
      </c>
      <c r="B824" s="3">
        <v>101</v>
      </c>
      <c r="C824" s="3" t="s">
        <v>18</v>
      </c>
      <c r="D824" s="6">
        <v>760.2</v>
      </c>
    </row>
    <row r="825" spans="1:4" x14ac:dyDescent="0.25">
      <c r="A825" s="4">
        <v>46318</v>
      </c>
      <c r="B825" s="3">
        <v>101</v>
      </c>
      <c r="C825" s="3" t="s">
        <v>7</v>
      </c>
      <c r="D825" s="6">
        <v>2538.0500000000002</v>
      </c>
    </row>
    <row r="826" spans="1:4" x14ac:dyDescent="0.25">
      <c r="A826" s="4">
        <v>46318</v>
      </c>
      <c r="B826" s="3">
        <v>101</v>
      </c>
      <c r="C826" s="3" t="s">
        <v>86</v>
      </c>
      <c r="D826" s="6">
        <v>1276.1199999999999</v>
      </c>
    </row>
    <row r="827" spans="1:4" x14ac:dyDescent="0.25">
      <c r="A827" s="4">
        <v>46318</v>
      </c>
      <c r="B827" s="3">
        <v>101</v>
      </c>
      <c r="C827" s="3" t="s">
        <v>217</v>
      </c>
      <c r="D827" s="6">
        <v>1478.7</v>
      </c>
    </row>
    <row r="828" spans="1:4" x14ac:dyDescent="0.25">
      <c r="A828" s="4">
        <v>46318</v>
      </c>
      <c r="B828" s="3">
        <v>101</v>
      </c>
      <c r="C828" s="3" t="s">
        <v>48</v>
      </c>
      <c r="D828" s="6">
        <v>1573.78</v>
      </c>
    </row>
    <row r="829" spans="1:4" x14ac:dyDescent="0.25">
      <c r="A829" s="4">
        <v>46318</v>
      </c>
      <c r="B829" s="3">
        <v>101</v>
      </c>
      <c r="C829" s="3" t="s">
        <v>64</v>
      </c>
      <c r="D829" s="6">
        <v>1705.41</v>
      </c>
    </row>
    <row r="830" spans="1:4" x14ac:dyDescent="0.25">
      <c r="A830" s="4">
        <v>46318</v>
      </c>
      <c r="B830" s="3">
        <v>101</v>
      </c>
      <c r="C830" s="3" t="s">
        <v>2</v>
      </c>
      <c r="D830" s="6">
        <v>14430</v>
      </c>
    </row>
    <row r="831" spans="1:4" ht="30" x14ac:dyDescent="0.25">
      <c r="A831" s="4">
        <v>46318</v>
      </c>
      <c r="B831" s="3">
        <v>101</v>
      </c>
      <c r="C831" s="3" t="s">
        <v>232</v>
      </c>
      <c r="D831" s="6">
        <v>4320</v>
      </c>
    </row>
    <row r="832" spans="1:4" x14ac:dyDescent="0.25">
      <c r="A832" s="4">
        <v>46318</v>
      </c>
      <c r="B832" s="3">
        <v>101</v>
      </c>
      <c r="C832" s="3" t="s">
        <v>4</v>
      </c>
      <c r="D832" s="6">
        <v>122850</v>
      </c>
    </row>
    <row r="833" spans="1:4" x14ac:dyDescent="0.25">
      <c r="A833" s="4">
        <v>46318</v>
      </c>
      <c r="B833" s="3">
        <v>101</v>
      </c>
      <c r="C833" s="3" t="s">
        <v>4</v>
      </c>
      <c r="D833" s="6">
        <v>-215.82</v>
      </c>
    </row>
    <row r="834" spans="1:4" x14ac:dyDescent="0.25">
      <c r="A834" s="4">
        <v>46318</v>
      </c>
      <c r="B834" s="3">
        <v>101</v>
      </c>
      <c r="C834" s="3" t="s">
        <v>4</v>
      </c>
      <c r="D834" s="6">
        <v>1666.25</v>
      </c>
    </row>
    <row r="835" spans="1:4" x14ac:dyDescent="0.25">
      <c r="A835" s="4">
        <v>46318</v>
      </c>
      <c r="B835" s="3">
        <v>101</v>
      </c>
      <c r="C835" s="3" t="s">
        <v>4</v>
      </c>
      <c r="D835" s="6">
        <v>4412.2</v>
      </c>
    </row>
    <row r="836" spans="1:4" x14ac:dyDescent="0.25">
      <c r="A836" s="4">
        <v>46318</v>
      </c>
      <c r="B836" s="3">
        <v>101</v>
      </c>
      <c r="C836" s="3" t="s">
        <v>4</v>
      </c>
      <c r="D836" s="6">
        <v>327</v>
      </c>
    </row>
    <row r="837" spans="1:4" x14ac:dyDescent="0.25">
      <c r="A837" s="4">
        <v>46318</v>
      </c>
      <c r="B837" s="3">
        <v>101</v>
      </c>
      <c r="C837" s="3" t="s">
        <v>70</v>
      </c>
      <c r="D837" s="6">
        <v>14134.72</v>
      </c>
    </row>
    <row r="838" spans="1:4" x14ac:dyDescent="0.25">
      <c r="A838" s="4">
        <v>46321</v>
      </c>
      <c r="B838" s="3">
        <v>101</v>
      </c>
      <c r="C838" s="3" t="s">
        <v>236</v>
      </c>
      <c r="D838" s="6">
        <v>368</v>
      </c>
    </row>
    <row r="839" spans="1:4" x14ac:dyDescent="0.25">
      <c r="A839" s="4">
        <v>46321</v>
      </c>
      <c r="B839" s="3">
        <v>101</v>
      </c>
      <c r="C839" s="3" t="s">
        <v>237</v>
      </c>
      <c r="D839" s="6">
        <v>128598.54</v>
      </c>
    </row>
    <row r="840" spans="1:4" x14ac:dyDescent="0.25">
      <c r="A840" s="4">
        <v>46321</v>
      </c>
      <c r="B840" s="3">
        <v>101</v>
      </c>
      <c r="C840" s="3" t="s">
        <v>188</v>
      </c>
      <c r="D840" s="6">
        <v>8212.14</v>
      </c>
    </row>
    <row r="841" spans="1:4" x14ac:dyDescent="0.25">
      <c r="A841" s="4">
        <v>46321</v>
      </c>
      <c r="B841" s="3">
        <v>101</v>
      </c>
      <c r="C841" s="3" t="s">
        <v>202</v>
      </c>
      <c r="D841" s="6">
        <v>2480.7600000000002</v>
      </c>
    </row>
    <row r="842" spans="1:4" x14ac:dyDescent="0.25">
      <c r="A842" s="4">
        <v>46321</v>
      </c>
      <c r="B842" s="3">
        <v>101</v>
      </c>
      <c r="C842" s="3" t="s">
        <v>175</v>
      </c>
      <c r="D842" s="6">
        <v>690.3</v>
      </c>
    </row>
    <row r="843" spans="1:4" x14ac:dyDescent="0.25">
      <c r="A843" s="4">
        <v>46321</v>
      </c>
      <c r="B843" s="3">
        <v>101</v>
      </c>
      <c r="C843" s="3" t="s">
        <v>225</v>
      </c>
      <c r="D843" s="6">
        <v>4145.6400000000003</v>
      </c>
    </row>
    <row r="844" spans="1:4" x14ac:dyDescent="0.25">
      <c r="A844" s="4">
        <v>46321</v>
      </c>
      <c r="B844" s="3">
        <v>101</v>
      </c>
      <c r="C844" s="3" t="s">
        <v>189</v>
      </c>
      <c r="D844" s="6">
        <v>2647.33</v>
      </c>
    </row>
    <row r="845" spans="1:4" x14ac:dyDescent="0.25">
      <c r="A845" s="4">
        <v>46321</v>
      </c>
      <c r="B845" s="3">
        <v>101</v>
      </c>
      <c r="C845" s="3" t="s">
        <v>20</v>
      </c>
      <c r="D845" s="6">
        <v>9171.9</v>
      </c>
    </row>
    <row r="846" spans="1:4" x14ac:dyDescent="0.25">
      <c r="A846" s="4">
        <v>46321</v>
      </c>
      <c r="B846" s="3">
        <v>101</v>
      </c>
      <c r="C846" s="3" t="s">
        <v>6</v>
      </c>
      <c r="D846" s="6">
        <v>2574.64</v>
      </c>
    </row>
    <row r="847" spans="1:4" x14ac:dyDescent="0.25">
      <c r="A847" s="4">
        <v>46321</v>
      </c>
      <c r="B847" s="3">
        <v>101</v>
      </c>
      <c r="C847" s="3" t="s">
        <v>31</v>
      </c>
      <c r="D847" s="6">
        <v>567.6</v>
      </c>
    </row>
    <row r="848" spans="1:4" x14ac:dyDescent="0.25">
      <c r="A848" s="4">
        <v>46321</v>
      </c>
      <c r="B848" s="3">
        <v>101</v>
      </c>
      <c r="C848" s="3" t="s">
        <v>66</v>
      </c>
      <c r="D848" s="6">
        <v>1511.02</v>
      </c>
    </row>
    <row r="849" spans="1:4" x14ac:dyDescent="0.25">
      <c r="A849" s="4">
        <v>46321</v>
      </c>
      <c r="B849" s="3">
        <v>101</v>
      </c>
      <c r="C849" s="3" t="s">
        <v>28</v>
      </c>
      <c r="D849" s="6">
        <v>23563.1</v>
      </c>
    </row>
    <row r="850" spans="1:4" x14ac:dyDescent="0.25">
      <c r="A850" s="4">
        <v>46321</v>
      </c>
      <c r="B850" s="3">
        <v>101</v>
      </c>
      <c r="C850" s="3" t="s">
        <v>143</v>
      </c>
      <c r="D850" s="6">
        <v>-761.75</v>
      </c>
    </row>
    <row r="851" spans="1:4" x14ac:dyDescent="0.25">
      <c r="A851" s="4">
        <v>46321</v>
      </c>
      <c r="B851" s="3">
        <v>101</v>
      </c>
      <c r="C851" s="3" t="s">
        <v>123</v>
      </c>
      <c r="D851" s="6">
        <v>1582.08</v>
      </c>
    </row>
    <row r="852" spans="1:4" x14ac:dyDescent="0.25">
      <c r="A852" s="4">
        <v>46321</v>
      </c>
      <c r="B852" s="3">
        <v>101</v>
      </c>
      <c r="C852" s="3" t="s">
        <v>238</v>
      </c>
      <c r="D852" s="6">
        <v>1273.5</v>
      </c>
    </row>
    <row r="853" spans="1:4" x14ac:dyDescent="0.25">
      <c r="A853" s="4">
        <v>46321</v>
      </c>
      <c r="B853" s="3">
        <v>101</v>
      </c>
      <c r="C853" s="3" t="s">
        <v>144</v>
      </c>
      <c r="D853" s="6">
        <v>-639.84</v>
      </c>
    </row>
    <row r="854" spans="1:4" x14ac:dyDescent="0.25">
      <c r="A854" s="4">
        <v>46321</v>
      </c>
      <c r="B854" s="3">
        <v>101</v>
      </c>
      <c r="C854" s="3" t="s">
        <v>60</v>
      </c>
      <c r="D854" s="6">
        <v>2160</v>
      </c>
    </row>
    <row r="855" spans="1:4" x14ac:dyDescent="0.25">
      <c r="A855" s="4">
        <v>46321</v>
      </c>
      <c r="B855" s="3">
        <v>101</v>
      </c>
      <c r="C855" s="3" t="s">
        <v>17</v>
      </c>
      <c r="D855" s="6">
        <v>14381.87</v>
      </c>
    </row>
    <row r="856" spans="1:4" x14ac:dyDescent="0.25">
      <c r="A856" s="4">
        <v>46321</v>
      </c>
      <c r="B856" s="3">
        <v>101</v>
      </c>
      <c r="C856" s="3" t="s">
        <v>16</v>
      </c>
      <c r="D856" s="6">
        <v>-3373.44</v>
      </c>
    </row>
    <row r="857" spans="1:4" x14ac:dyDescent="0.25">
      <c r="A857" s="4">
        <v>46321</v>
      </c>
      <c r="B857" s="3">
        <v>101</v>
      </c>
      <c r="C857" s="3" t="s">
        <v>16</v>
      </c>
      <c r="D857" s="6">
        <v>5353.44</v>
      </c>
    </row>
    <row r="858" spans="1:4" ht="30" x14ac:dyDescent="0.25">
      <c r="A858" s="4">
        <v>46321</v>
      </c>
      <c r="B858" s="3">
        <v>101</v>
      </c>
      <c r="C858" s="3" t="s">
        <v>38</v>
      </c>
      <c r="D858" s="6">
        <v>5562.9</v>
      </c>
    </row>
    <row r="859" spans="1:4" x14ac:dyDescent="0.25">
      <c r="A859" s="4">
        <v>46321</v>
      </c>
      <c r="B859" s="3">
        <v>101</v>
      </c>
      <c r="C859" s="3" t="s">
        <v>41</v>
      </c>
      <c r="D859" s="6">
        <v>20711.900000000001</v>
      </c>
    </row>
    <row r="860" spans="1:4" x14ac:dyDescent="0.25">
      <c r="A860" s="4">
        <v>46321</v>
      </c>
      <c r="B860" s="3">
        <v>101</v>
      </c>
      <c r="C860" s="3" t="s">
        <v>239</v>
      </c>
      <c r="D860" s="6">
        <v>9800</v>
      </c>
    </row>
    <row r="861" spans="1:4" x14ac:dyDescent="0.25">
      <c r="A861" s="4">
        <v>46321</v>
      </c>
      <c r="B861" s="3">
        <v>101</v>
      </c>
      <c r="C861" s="3" t="s">
        <v>102</v>
      </c>
      <c r="D861" s="6">
        <v>-2700</v>
      </c>
    </row>
    <row r="862" spans="1:4" x14ac:dyDescent="0.25">
      <c r="A862" s="4">
        <v>46321</v>
      </c>
      <c r="B862" s="3">
        <v>101</v>
      </c>
      <c r="C862" s="3" t="s">
        <v>1</v>
      </c>
      <c r="D862" s="6">
        <v>216623.32</v>
      </c>
    </row>
    <row r="863" spans="1:4" x14ac:dyDescent="0.25">
      <c r="A863" s="4">
        <v>46321</v>
      </c>
      <c r="B863" s="3">
        <v>101</v>
      </c>
      <c r="C863" s="3" t="s">
        <v>50</v>
      </c>
      <c r="D863" s="6">
        <v>5527.5</v>
      </c>
    </row>
    <row r="864" spans="1:4" x14ac:dyDescent="0.25">
      <c r="A864" s="4">
        <v>46321</v>
      </c>
      <c r="B864" s="3">
        <v>101</v>
      </c>
      <c r="C864" s="3" t="s">
        <v>52</v>
      </c>
      <c r="D864" s="6">
        <v>2108.84</v>
      </c>
    </row>
    <row r="865" spans="1:4" x14ac:dyDescent="0.25">
      <c r="A865" s="4">
        <v>46321</v>
      </c>
      <c r="B865" s="3">
        <v>101</v>
      </c>
      <c r="C865" s="3" t="s">
        <v>11</v>
      </c>
      <c r="D865" s="6">
        <v>24648.5</v>
      </c>
    </row>
    <row r="866" spans="1:4" x14ac:dyDescent="0.25">
      <c r="A866" s="4">
        <v>46321</v>
      </c>
      <c r="B866" s="3">
        <v>101</v>
      </c>
      <c r="C866" s="3" t="s">
        <v>11</v>
      </c>
      <c r="D866" s="6">
        <v>4589.7</v>
      </c>
    </row>
    <row r="867" spans="1:4" x14ac:dyDescent="0.25">
      <c r="A867" s="4">
        <v>46321</v>
      </c>
      <c r="B867" s="3">
        <v>101</v>
      </c>
      <c r="C867" s="3" t="s">
        <v>21</v>
      </c>
      <c r="D867" s="6">
        <v>4656.08</v>
      </c>
    </row>
    <row r="868" spans="1:4" x14ac:dyDescent="0.25">
      <c r="A868" s="4">
        <v>46321</v>
      </c>
      <c r="B868" s="3">
        <v>101</v>
      </c>
      <c r="C868" s="3" t="s">
        <v>240</v>
      </c>
      <c r="D868" s="6">
        <v>-639.84</v>
      </c>
    </row>
    <row r="869" spans="1:4" x14ac:dyDescent="0.25">
      <c r="A869" s="4">
        <v>46321</v>
      </c>
      <c r="B869" s="3">
        <v>101</v>
      </c>
      <c r="C869" s="3" t="s">
        <v>19</v>
      </c>
      <c r="D869" s="6">
        <v>1848</v>
      </c>
    </row>
    <row r="870" spans="1:4" x14ac:dyDescent="0.25">
      <c r="A870" s="4">
        <v>46321</v>
      </c>
      <c r="B870" s="3">
        <v>101</v>
      </c>
      <c r="C870" s="3" t="s">
        <v>19</v>
      </c>
      <c r="D870" s="6">
        <v>12354</v>
      </c>
    </row>
    <row r="871" spans="1:4" x14ac:dyDescent="0.25">
      <c r="A871" s="4">
        <v>46321</v>
      </c>
      <c r="B871" s="3">
        <v>101</v>
      </c>
      <c r="C871" s="3" t="s">
        <v>53</v>
      </c>
      <c r="D871" s="6">
        <v>3432</v>
      </c>
    </row>
    <row r="872" spans="1:4" x14ac:dyDescent="0.25">
      <c r="A872" s="4">
        <v>46321</v>
      </c>
      <c r="B872" s="3">
        <v>101</v>
      </c>
      <c r="C872" s="3" t="s">
        <v>128</v>
      </c>
      <c r="D872" s="6">
        <v>1137.79</v>
      </c>
    </row>
    <row r="873" spans="1:4" x14ac:dyDescent="0.25">
      <c r="A873" s="4">
        <v>46321</v>
      </c>
      <c r="B873" s="3">
        <v>101</v>
      </c>
      <c r="C873" s="3" t="s">
        <v>18</v>
      </c>
      <c r="D873" s="6">
        <v>1899.2</v>
      </c>
    </row>
    <row r="874" spans="1:4" x14ac:dyDescent="0.25">
      <c r="A874" s="4">
        <v>46321</v>
      </c>
      <c r="B874" s="3">
        <v>101</v>
      </c>
      <c r="C874" s="3" t="s">
        <v>18</v>
      </c>
      <c r="D874" s="6">
        <v>1899.2</v>
      </c>
    </row>
    <row r="875" spans="1:4" x14ac:dyDescent="0.25">
      <c r="A875" s="4">
        <v>46321</v>
      </c>
      <c r="B875" s="3">
        <v>101</v>
      </c>
      <c r="C875" s="3" t="s">
        <v>18</v>
      </c>
      <c r="D875" s="6">
        <v>524.1</v>
      </c>
    </row>
    <row r="876" spans="1:4" x14ac:dyDescent="0.25">
      <c r="A876" s="4">
        <v>46321</v>
      </c>
      <c r="B876" s="3">
        <v>101</v>
      </c>
      <c r="C876" s="3" t="s">
        <v>18</v>
      </c>
      <c r="D876" s="6">
        <v>1172.02</v>
      </c>
    </row>
    <row r="877" spans="1:4" x14ac:dyDescent="0.25">
      <c r="A877" s="4">
        <v>46321</v>
      </c>
      <c r="B877" s="3">
        <v>101</v>
      </c>
      <c r="C877" s="3" t="s">
        <v>40</v>
      </c>
      <c r="D877" s="6">
        <v>9133.14</v>
      </c>
    </row>
    <row r="878" spans="1:4" x14ac:dyDescent="0.25">
      <c r="A878" s="4">
        <v>46321</v>
      </c>
      <c r="B878" s="3">
        <v>101</v>
      </c>
      <c r="C878" s="3" t="s">
        <v>32</v>
      </c>
      <c r="D878" s="6">
        <v>1831.77</v>
      </c>
    </row>
    <row r="879" spans="1:4" x14ac:dyDescent="0.25">
      <c r="A879" s="4">
        <v>46321</v>
      </c>
      <c r="B879" s="3">
        <v>101</v>
      </c>
      <c r="C879" s="3" t="s">
        <v>32</v>
      </c>
      <c r="D879" s="6">
        <v>25944.23</v>
      </c>
    </row>
    <row r="880" spans="1:4" x14ac:dyDescent="0.25">
      <c r="A880" s="4">
        <v>46321</v>
      </c>
      <c r="B880" s="3">
        <v>101</v>
      </c>
      <c r="C880" s="3" t="s">
        <v>49</v>
      </c>
      <c r="D880" s="6">
        <v>104016.74</v>
      </c>
    </row>
    <row r="881" spans="1:4" x14ac:dyDescent="0.25">
      <c r="A881" s="4">
        <v>46321</v>
      </c>
      <c r="B881" s="3">
        <v>101</v>
      </c>
      <c r="C881" s="3" t="s">
        <v>241</v>
      </c>
      <c r="D881" s="6">
        <v>4432.3999999999996</v>
      </c>
    </row>
    <row r="882" spans="1:4" x14ac:dyDescent="0.25">
      <c r="A882" s="4">
        <v>46321</v>
      </c>
      <c r="B882" s="3">
        <v>101</v>
      </c>
      <c r="C882" s="3" t="s">
        <v>115</v>
      </c>
      <c r="D882" s="6">
        <v>1139.52</v>
      </c>
    </row>
    <row r="883" spans="1:4" x14ac:dyDescent="0.25">
      <c r="A883" s="4">
        <v>46321</v>
      </c>
      <c r="B883" s="3">
        <v>101</v>
      </c>
      <c r="C883" s="3" t="s">
        <v>185</v>
      </c>
      <c r="D883" s="6">
        <v>2859.4</v>
      </c>
    </row>
    <row r="884" spans="1:4" x14ac:dyDescent="0.25">
      <c r="A884" s="4">
        <v>46321</v>
      </c>
      <c r="B884" s="3">
        <v>101</v>
      </c>
      <c r="C884" s="3" t="s">
        <v>2</v>
      </c>
      <c r="D884" s="6">
        <v>124297.77</v>
      </c>
    </row>
    <row r="885" spans="1:4" ht="30" x14ac:dyDescent="0.25">
      <c r="A885" s="4">
        <v>46321</v>
      </c>
      <c r="B885" s="3">
        <v>101</v>
      </c>
      <c r="C885" s="3" t="s">
        <v>232</v>
      </c>
      <c r="D885" s="6">
        <v>-487.02</v>
      </c>
    </row>
    <row r="886" spans="1:4" x14ac:dyDescent="0.25">
      <c r="A886" s="4">
        <v>46321</v>
      </c>
      <c r="B886" s="3">
        <v>101</v>
      </c>
      <c r="C886" s="3" t="s">
        <v>4</v>
      </c>
      <c r="D886" s="6">
        <v>26259.13</v>
      </c>
    </row>
    <row r="887" spans="1:4" x14ac:dyDescent="0.25">
      <c r="A887" s="4">
        <v>46321</v>
      </c>
      <c r="B887" s="3">
        <v>101</v>
      </c>
      <c r="C887" s="3" t="s">
        <v>4</v>
      </c>
      <c r="D887" s="6">
        <v>305.2</v>
      </c>
    </row>
    <row r="888" spans="1:4" x14ac:dyDescent="0.25">
      <c r="A888" s="4">
        <v>46321</v>
      </c>
      <c r="B888" s="3">
        <v>101</v>
      </c>
      <c r="C888" s="3" t="s">
        <v>4</v>
      </c>
      <c r="D888" s="6">
        <v>1481.55</v>
      </c>
    </row>
    <row r="889" spans="1:4" x14ac:dyDescent="0.25">
      <c r="A889" s="4">
        <v>46321</v>
      </c>
      <c r="B889" s="3">
        <v>101</v>
      </c>
      <c r="C889" s="3" t="s">
        <v>4</v>
      </c>
      <c r="D889" s="6">
        <v>2326</v>
      </c>
    </row>
    <row r="890" spans="1:4" x14ac:dyDescent="0.25">
      <c r="A890" s="4">
        <v>46321</v>
      </c>
      <c r="B890" s="3">
        <v>101</v>
      </c>
      <c r="C890" s="3" t="s">
        <v>135</v>
      </c>
      <c r="D890" s="6">
        <v>1259.01</v>
      </c>
    </row>
    <row r="891" spans="1:4" x14ac:dyDescent="0.25">
      <c r="A891" s="4">
        <v>46322</v>
      </c>
      <c r="B891" s="3">
        <v>101</v>
      </c>
      <c r="C891" s="3" t="s">
        <v>237</v>
      </c>
      <c r="D891" s="6">
        <v>216925.18</v>
      </c>
    </row>
    <row r="892" spans="1:4" x14ac:dyDescent="0.25">
      <c r="A892" s="4">
        <v>46322</v>
      </c>
      <c r="B892" s="3">
        <v>101</v>
      </c>
      <c r="C892" s="3" t="s">
        <v>199</v>
      </c>
      <c r="D892" s="6">
        <v>13304.93</v>
      </c>
    </row>
    <row r="893" spans="1:4" x14ac:dyDescent="0.25">
      <c r="A893" s="4">
        <v>46322</v>
      </c>
      <c r="B893" s="3">
        <v>101</v>
      </c>
      <c r="C893" s="3" t="s">
        <v>200</v>
      </c>
      <c r="D893" s="6">
        <v>15819.99</v>
      </c>
    </row>
    <row r="894" spans="1:4" x14ac:dyDescent="0.25">
      <c r="A894" s="4">
        <v>46322</v>
      </c>
      <c r="B894" s="3">
        <v>101</v>
      </c>
      <c r="C894" s="3" t="s">
        <v>175</v>
      </c>
      <c r="D894" s="6">
        <v>186.3</v>
      </c>
    </row>
    <row r="895" spans="1:4" x14ac:dyDescent="0.25">
      <c r="A895" s="4">
        <v>46322</v>
      </c>
      <c r="B895" s="3">
        <v>101</v>
      </c>
      <c r="C895" s="3" t="s">
        <v>14</v>
      </c>
      <c r="D895" s="6">
        <v>502.8</v>
      </c>
    </row>
    <row r="896" spans="1:4" x14ac:dyDescent="0.25">
      <c r="A896" s="4">
        <v>46322</v>
      </c>
      <c r="B896" s="3">
        <v>101</v>
      </c>
      <c r="C896" s="3" t="s">
        <v>242</v>
      </c>
      <c r="D896" s="6">
        <v>744</v>
      </c>
    </row>
    <row r="897" spans="1:4" x14ac:dyDescent="0.25">
      <c r="A897" s="4">
        <v>46322</v>
      </c>
      <c r="B897" s="3">
        <v>101</v>
      </c>
      <c r="C897" s="3" t="s">
        <v>10</v>
      </c>
      <c r="D897" s="6">
        <v>3207.44</v>
      </c>
    </row>
    <row r="898" spans="1:4" x14ac:dyDescent="0.25">
      <c r="A898" s="4">
        <v>46322</v>
      </c>
      <c r="B898" s="3">
        <v>101</v>
      </c>
      <c r="C898" s="3" t="s">
        <v>46</v>
      </c>
      <c r="D898" s="6">
        <v>93.3</v>
      </c>
    </row>
    <row r="899" spans="1:4" x14ac:dyDescent="0.25">
      <c r="A899" s="4">
        <v>46322</v>
      </c>
      <c r="B899" s="3">
        <v>101</v>
      </c>
      <c r="C899" s="3" t="s">
        <v>68</v>
      </c>
      <c r="D899" s="6">
        <v>174.02</v>
      </c>
    </row>
    <row r="900" spans="1:4" x14ac:dyDescent="0.25">
      <c r="A900" s="4">
        <v>46322</v>
      </c>
      <c r="B900" s="3">
        <v>101</v>
      </c>
      <c r="C900" s="3" t="s">
        <v>176</v>
      </c>
      <c r="D900" s="6">
        <v>1291.05</v>
      </c>
    </row>
    <row r="901" spans="1:4" x14ac:dyDescent="0.25">
      <c r="A901" s="4">
        <v>46322</v>
      </c>
      <c r="B901" s="3">
        <v>101</v>
      </c>
      <c r="C901" s="3" t="s">
        <v>20</v>
      </c>
      <c r="D901" s="6">
        <v>-214.82</v>
      </c>
    </row>
    <row r="902" spans="1:4" x14ac:dyDescent="0.25">
      <c r="A902" s="4">
        <v>46322</v>
      </c>
      <c r="B902" s="3">
        <v>101</v>
      </c>
      <c r="C902" s="3" t="s">
        <v>6</v>
      </c>
      <c r="D902" s="6">
        <v>5653</v>
      </c>
    </row>
    <row r="903" spans="1:4" x14ac:dyDescent="0.25">
      <c r="A903" s="4">
        <v>46322</v>
      </c>
      <c r="B903" s="3">
        <v>101</v>
      </c>
      <c r="C903" s="3" t="s">
        <v>31</v>
      </c>
      <c r="D903" s="6">
        <v>633</v>
      </c>
    </row>
    <row r="904" spans="1:4" x14ac:dyDescent="0.25">
      <c r="A904" s="4">
        <v>46322</v>
      </c>
      <c r="B904" s="3">
        <v>101</v>
      </c>
      <c r="C904" s="3" t="s">
        <v>57</v>
      </c>
      <c r="D904" s="6">
        <v>566.6</v>
      </c>
    </row>
    <row r="905" spans="1:4" x14ac:dyDescent="0.25">
      <c r="A905" s="4">
        <v>46322</v>
      </c>
      <c r="B905" s="3">
        <v>101</v>
      </c>
      <c r="C905" s="3" t="s">
        <v>159</v>
      </c>
      <c r="D905" s="6">
        <v>50.7</v>
      </c>
    </row>
    <row r="906" spans="1:4" x14ac:dyDescent="0.25">
      <c r="A906" s="4">
        <v>46322</v>
      </c>
      <c r="B906" s="3">
        <v>101</v>
      </c>
      <c r="C906" s="3" t="s">
        <v>30</v>
      </c>
      <c r="D906" s="6">
        <v>955</v>
      </c>
    </row>
    <row r="907" spans="1:4" x14ac:dyDescent="0.25">
      <c r="A907" s="4">
        <v>46322</v>
      </c>
      <c r="B907" s="3">
        <v>101</v>
      </c>
      <c r="C907" s="3" t="s">
        <v>97</v>
      </c>
      <c r="D907" s="6">
        <v>404.79</v>
      </c>
    </row>
    <row r="908" spans="1:4" x14ac:dyDescent="0.25">
      <c r="A908" s="4">
        <v>46322</v>
      </c>
      <c r="B908" s="3">
        <v>101</v>
      </c>
      <c r="C908" s="3" t="s">
        <v>13</v>
      </c>
      <c r="D908" s="6">
        <v>252.69</v>
      </c>
    </row>
    <row r="909" spans="1:4" x14ac:dyDescent="0.25">
      <c r="A909" s="4">
        <v>46322</v>
      </c>
      <c r="B909" s="3">
        <v>101</v>
      </c>
      <c r="C909" s="3" t="s">
        <v>98</v>
      </c>
      <c r="D909" s="6">
        <v>511.55</v>
      </c>
    </row>
    <row r="910" spans="1:4" x14ac:dyDescent="0.25">
      <c r="A910" s="4">
        <v>46322</v>
      </c>
      <c r="B910" s="3">
        <v>101</v>
      </c>
      <c r="C910" s="3" t="s">
        <v>243</v>
      </c>
      <c r="D910" s="6">
        <v>651.20000000000005</v>
      </c>
    </row>
    <row r="911" spans="1:4" x14ac:dyDescent="0.25">
      <c r="A911" s="4">
        <v>46322</v>
      </c>
      <c r="B911" s="3">
        <v>101</v>
      </c>
      <c r="C911" s="3" t="s">
        <v>147</v>
      </c>
      <c r="D911" s="6">
        <v>1905.73</v>
      </c>
    </row>
    <row r="912" spans="1:4" x14ac:dyDescent="0.25">
      <c r="A912" s="4">
        <v>46322</v>
      </c>
      <c r="B912" s="3">
        <v>101</v>
      </c>
      <c r="C912" s="3" t="s">
        <v>16</v>
      </c>
      <c r="D912" s="6">
        <v>292</v>
      </c>
    </row>
    <row r="913" spans="1:4" x14ac:dyDescent="0.25">
      <c r="A913" s="4">
        <v>46322</v>
      </c>
      <c r="B913" s="3">
        <v>101</v>
      </c>
      <c r="C913" s="3" t="s">
        <v>44</v>
      </c>
      <c r="D913" s="6">
        <v>24812.44</v>
      </c>
    </row>
    <row r="914" spans="1:4" x14ac:dyDescent="0.25">
      <c r="A914" s="4">
        <v>46322</v>
      </c>
      <c r="B914" s="3">
        <v>101</v>
      </c>
      <c r="C914" s="3" t="s">
        <v>183</v>
      </c>
      <c r="D914" s="6">
        <v>65.680000000000007</v>
      </c>
    </row>
    <row r="915" spans="1:4" x14ac:dyDescent="0.25">
      <c r="A915" s="4">
        <v>46322</v>
      </c>
      <c r="B915" s="3">
        <v>101</v>
      </c>
      <c r="C915" s="3" t="s">
        <v>9</v>
      </c>
      <c r="D915" s="6">
        <v>17556.349999999999</v>
      </c>
    </row>
    <row r="916" spans="1:4" ht="30" x14ac:dyDescent="0.25">
      <c r="A916" s="4">
        <v>46322</v>
      </c>
      <c r="B916" s="3">
        <v>101</v>
      </c>
      <c r="C916" s="3" t="s">
        <v>38</v>
      </c>
      <c r="D916" s="6">
        <v>3969.77</v>
      </c>
    </row>
    <row r="917" spans="1:4" x14ac:dyDescent="0.25">
      <c r="A917" s="4">
        <v>46322</v>
      </c>
      <c r="B917" s="3">
        <v>101</v>
      </c>
      <c r="C917" s="3" t="s">
        <v>41</v>
      </c>
      <c r="D917" s="6">
        <v>1683</v>
      </c>
    </row>
    <row r="918" spans="1:4" x14ac:dyDescent="0.25">
      <c r="A918" s="4">
        <v>46322</v>
      </c>
      <c r="B918" s="3">
        <v>101</v>
      </c>
      <c r="C918" s="3" t="s">
        <v>239</v>
      </c>
      <c r="D918" s="6">
        <v>845.5</v>
      </c>
    </row>
    <row r="919" spans="1:4" x14ac:dyDescent="0.25">
      <c r="A919" s="4">
        <v>46322</v>
      </c>
      <c r="B919" s="3">
        <v>101</v>
      </c>
      <c r="C919" s="3" t="s">
        <v>244</v>
      </c>
      <c r="D919" s="6">
        <v>116091.37</v>
      </c>
    </row>
    <row r="920" spans="1:4" x14ac:dyDescent="0.25">
      <c r="A920" s="4">
        <v>46322</v>
      </c>
      <c r="B920" s="3">
        <v>101</v>
      </c>
      <c r="C920" s="3" t="s">
        <v>1</v>
      </c>
      <c r="D920" s="6">
        <v>2558.52</v>
      </c>
    </row>
    <row r="921" spans="1:4" x14ac:dyDescent="0.25">
      <c r="A921" s="4">
        <v>46322</v>
      </c>
      <c r="B921" s="3">
        <v>101</v>
      </c>
      <c r="C921" s="3" t="s">
        <v>245</v>
      </c>
      <c r="D921" s="6">
        <v>1403.02</v>
      </c>
    </row>
    <row r="922" spans="1:4" x14ac:dyDescent="0.25">
      <c r="A922" s="4">
        <v>46322</v>
      </c>
      <c r="B922" s="3">
        <v>101</v>
      </c>
      <c r="C922" s="3" t="s">
        <v>50</v>
      </c>
      <c r="D922" s="6">
        <v>593.46</v>
      </c>
    </row>
    <row r="923" spans="1:4" x14ac:dyDescent="0.25">
      <c r="A923" s="4">
        <v>46322</v>
      </c>
      <c r="B923" s="3">
        <v>101</v>
      </c>
      <c r="C923" s="3" t="s">
        <v>84</v>
      </c>
      <c r="D923" s="6">
        <v>1227.48</v>
      </c>
    </row>
    <row r="924" spans="1:4" x14ac:dyDescent="0.25">
      <c r="A924" s="4">
        <v>46322</v>
      </c>
      <c r="B924" s="3">
        <v>101</v>
      </c>
      <c r="C924" s="3" t="s">
        <v>21</v>
      </c>
      <c r="D924" s="6">
        <v>1979.94</v>
      </c>
    </row>
    <row r="925" spans="1:4" x14ac:dyDescent="0.25">
      <c r="A925" s="4">
        <v>46322</v>
      </c>
      <c r="B925" s="3">
        <v>101</v>
      </c>
      <c r="C925" s="3" t="s">
        <v>19</v>
      </c>
      <c r="D925" s="6">
        <v>3696</v>
      </c>
    </row>
    <row r="926" spans="1:4" x14ac:dyDescent="0.25">
      <c r="A926" s="4">
        <v>46322</v>
      </c>
      <c r="B926" s="3">
        <v>101</v>
      </c>
      <c r="C926" s="3" t="s">
        <v>18</v>
      </c>
      <c r="D926" s="6">
        <v>7054.3</v>
      </c>
    </row>
    <row r="927" spans="1:4" x14ac:dyDescent="0.25">
      <c r="A927" s="4">
        <v>46322</v>
      </c>
      <c r="B927" s="3">
        <v>101</v>
      </c>
      <c r="C927" s="3" t="s">
        <v>18</v>
      </c>
      <c r="D927" s="6">
        <v>4382.76</v>
      </c>
    </row>
    <row r="928" spans="1:4" x14ac:dyDescent="0.25">
      <c r="A928" s="4">
        <v>46322</v>
      </c>
      <c r="B928" s="3">
        <v>101</v>
      </c>
      <c r="C928" s="3" t="s">
        <v>18</v>
      </c>
      <c r="D928" s="6">
        <v>1867.78</v>
      </c>
    </row>
    <row r="929" spans="1:4" x14ac:dyDescent="0.25">
      <c r="A929" s="4">
        <v>46322</v>
      </c>
      <c r="B929" s="3">
        <v>101</v>
      </c>
      <c r="C929" s="3" t="s">
        <v>18</v>
      </c>
      <c r="D929" s="6">
        <v>687.8</v>
      </c>
    </row>
    <row r="930" spans="1:4" x14ac:dyDescent="0.25">
      <c r="A930" s="4">
        <v>46322</v>
      </c>
      <c r="B930" s="3">
        <v>101</v>
      </c>
      <c r="C930" s="3" t="s">
        <v>18</v>
      </c>
      <c r="D930" s="6">
        <v>11332</v>
      </c>
    </row>
    <row r="931" spans="1:4" x14ac:dyDescent="0.25">
      <c r="A931" s="4">
        <v>46322</v>
      </c>
      <c r="B931" s="3">
        <v>101</v>
      </c>
      <c r="C931" s="3" t="s">
        <v>18</v>
      </c>
      <c r="D931" s="6">
        <v>3461.43</v>
      </c>
    </row>
    <row r="932" spans="1:4" x14ac:dyDescent="0.25">
      <c r="A932" s="4">
        <v>46322</v>
      </c>
      <c r="B932" s="3">
        <v>101</v>
      </c>
      <c r="C932" s="3" t="s">
        <v>18</v>
      </c>
      <c r="D932" s="6">
        <v>75.760000000000005</v>
      </c>
    </row>
    <row r="933" spans="1:4" x14ac:dyDescent="0.25">
      <c r="A933" s="4">
        <v>46322</v>
      </c>
      <c r="B933" s="3">
        <v>101</v>
      </c>
      <c r="C933" s="3" t="s">
        <v>40</v>
      </c>
      <c r="D933" s="6">
        <v>52.03</v>
      </c>
    </row>
    <row r="934" spans="1:4" x14ac:dyDescent="0.25">
      <c r="A934" s="4">
        <v>46322</v>
      </c>
      <c r="B934" s="3">
        <v>101</v>
      </c>
      <c r="C934" s="3" t="s">
        <v>7</v>
      </c>
      <c r="D934" s="6">
        <v>433.1</v>
      </c>
    </row>
    <row r="935" spans="1:4" x14ac:dyDescent="0.25">
      <c r="A935" s="4">
        <v>46322</v>
      </c>
      <c r="B935" s="3">
        <v>101</v>
      </c>
      <c r="C935" s="3" t="s">
        <v>61</v>
      </c>
      <c r="D935" s="6">
        <v>163.85</v>
      </c>
    </row>
    <row r="936" spans="1:4" x14ac:dyDescent="0.25">
      <c r="A936" s="4">
        <v>46322</v>
      </c>
      <c r="B936" s="3">
        <v>101</v>
      </c>
      <c r="C936" s="3" t="s">
        <v>49</v>
      </c>
      <c r="D936" s="6">
        <v>8030.12</v>
      </c>
    </row>
    <row r="937" spans="1:4" x14ac:dyDescent="0.25">
      <c r="A937" s="4">
        <v>46322</v>
      </c>
      <c r="B937" s="3">
        <v>101</v>
      </c>
      <c r="C937" s="3" t="s">
        <v>230</v>
      </c>
      <c r="D937" s="6">
        <v>763.47</v>
      </c>
    </row>
    <row r="938" spans="1:4" x14ac:dyDescent="0.25">
      <c r="A938" s="4">
        <v>46322</v>
      </c>
      <c r="B938" s="3">
        <v>101</v>
      </c>
      <c r="C938" s="3" t="s">
        <v>115</v>
      </c>
      <c r="D938" s="6">
        <v>4705.68</v>
      </c>
    </row>
    <row r="939" spans="1:4" x14ac:dyDescent="0.25">
      <c r="A939" s="4">
        <v>46322</v>
      </c>
      <c r="B939" s="3">
        <v>101</v>
      </c>
      <c r="C939" s="3" t="s">
        <v>48</v>
      </c>
      <c r="D939" s="6">
        <v>1272.45</v>
      </c>
    </row>
    <row r="940" spans="1:4" x14ac:dyDescent="0.25">
      <c r="A940" s="4">
        <v>46322</v>
      </c>
      <c r="B940" s="3">
        <v>101</v>
      </c>
      <c r="C940" s="3" t="s">
        <v>39</v>
      </c>
      <c r="D940" s="6">
        <v>10687</v>
      </c>
    </row>
    <row r="941" spans="1:4" x14ac:dyDescent="0.25">
      <c r="A941" s="4">
        <v>46322</v>
      </c>
      <c r="B941" s="3">
        <v>101</v>
      </c>
      <c r="C941" s="3" t="s">
        <v>5</v>
      </c>
      <c r="D941" s="6">
        <v>21714</v>
      </c>
    </row>
    <row r="942" spans="1:4" x14ac:dyDescent="0.25">
      <c r="A942" s="4">
        <v>46322</v>
      </c>
      <c r="B942" s="3">
        <v>101</v>
      </c>
      <c r="C942" s="3" t="s">
        <v>214</v>
      </c>
      <c r="D942" s="6">
        <v>-182.82</v>
      </c>
    </row>
    <row r="943" spans="1:4" x14ac:dyDescent="0.25">
      <c r="A943" s="4">
        <v>46322</v>
      </c>
      <c r="B943" s="3">
        <v>101</v>
      </c>
      <c r="C943" s="3" t="s">
        <v>4</v>
      </c>
      <c r="D943" s="6">
        <v>1815.66</v>
      </c>
    </row>
    <row r="944" spans="1:4" x14ac:dyDescent="0.25">
      <c r="A944" s="4">
        <v>46322</v>
      </c>
      <c r="B944" s="3">
        <v>101</v>
      </c>
      <c r="C944" s="3" t="s">
        <v>4</v>
      </c>
      <c r="D944" s="6">
        <v>988.45</v>
      </c>
    </row>
    <row r="945" spans="1:4" x14ac:dyDescent="0.25">
      <c r="A945" s="4">
        <v>46322</v>
      </c>
      <c r="B945" s="3">
        <v>101</v>
      </c>
      <c r="C945" s="3" t="s">
        <v>4</v>
      </c>
      <c r="D945" s="6">
        <v>821.8</v>
      </c>
    </row>
    <row r="946" spans="1:4" x14ac:dyDescent="0.25">
      <c r="A946" s="4">
        <v>46322</v>
      </c>
      <c r="B946" s="3">
        <v>101</v>
      </c>
      <c r="C946" s="3" t="s">
        <v>4</v>
      </c>
      <c r="D946" s="6">
        <v>610.4</v>
      </c>
    </row>
    <row r="947" spans="1:4" x14ac:dyDescent="0.25">
      <c r="A947" s="4">
        <v>46322</v>
      </c>
      <c r="B947" s="3">
        <v>101</v>
      </c>
      <c r="C947" s="3" t="s">
        <v>4</v>
      </c>
      <c r="D947" s="6">
        <v>3412.9</v>
      </c>
    </row>
    <row r="948" spans="1:4" x14ac:dyDescent="0.25">
      <c r="A948" s="4">
        <v>46322</v>
      </c>
      <c r="B948" s="3">
        <v>101</v>
      </c>
      <c r="C948" s="3" t="s">
        <v>4</v>
      </c>
      <c r="D948" s="6">
        <v>213.64</v>
      </c>
    </row>
    <row r="949" spans="1:4" x14ac:dyDescent="0.25">
      <c r="A949" s="4">
        <v>46323</v>
      </c>
      <c r="B949" s="3">
        <v>101</v>
      </c>
      <c r="C949" s="3" t="s">
        <v>237</v>
      </c>
      <c r="D949" s="6">
        <v>117397.42</v>
      </c>
    </row>
    <row r="950" spans="1:4" x14ac:dyDescent="0.25">
      <c r="A950" s="4">
        <v>46323</v>
      </c>
      <c r="B950" s="3">
        <v>101</v>
      </c>
      <c r="C950" s="3" t="s">
        <v>196</v>
      </c>
      <c r="D950" s="6">
        <v>12117.82</v>
      </c>
    </row>
    <row r="951" spans="1:4" x14ac:dyDescent="0.25">
      <c r="A951" s="4">
        <v>46323</v>
      </c>
      <c r="B951" s="3">
        <v>101</v>
      </c>
      <c r="C951" s="3" t="s">
        <v>10</v>
      </c>
      <c r="D951" s="6">
        <v>12102.4</v>
      </c>
    </row>
    <row r="952" spans="1:4" x14ac:dyDescent="0.25">
      <c r="A952" s="4">
        <v>46323</v>
      </c>
      <c r="B952" s="3">
        <v>101</v>
      </c>
      <c r="C952" s="3" t="s">
        <v>20</v>
      </c>
      <c r="D952" s="3">
        <v>660</v>
      </c>
    </row>
    <row r="953" spans="1:4" x14ac:dyDescent="0.25">
      <c r="A953" s="4">
        <v>46323</v>
      </c>
      <c r="B953" s="3">
        <v>101</v>
      </c>
      <c r="C953" s="3" t="s">
        <v>28</v>
      </c>
      <c r="D953" s="6">
        <v>1213.28</v>
      </c>
    </row>
    <row r="954" spans="1:4" x14ac:dyDescent="0.25">
      <c r="A954" s="4">
        <v>46323</v>
      </c>
      <c r="B954" s="3">
        <v>101</v>
      </c>
      <c r="C954" s="3" t="s">
        <v>246</v>
      </c>
      <c r="D954" s="6">
        <v>4620</v>
      </c>
    </row>
    <row r="955" spans="1:4" x14ac:dyDescent="0.25">
      <c r="A955" s="4">
        <v>46323</v>
      </c>
      <c r="B955" s="3">
        <v>101</v>
      </c>
      <c r="C955" s="3" t="s">
        <v>147</v>
      </c>
      <c r="D955" s="3">
        <v>-642.34</v>
      </c>
    </row>
    <row r="956" spans="1:4" x14ac:dyDescent="0.25">
      <c r="A956" s="4">
        <v>46323</v>
      </c>
      <c r="B956" s="3">
        <v>101</v>
      </c>
      <c r="C956" s="3" t="s">
        <v>17</v>
      </c>
      <c r="D956" s="6">
        <v>-4746.6000000000004</v>
      </c>
    </row>
    <row r="957" spans="1:4" x14ac:dyDescent="0.25">
      <c r="A957" s="4">
        <v>46323</v>
      </c>
      <c r="B957" s="3">
        <v>101</v>
      </c>
      <c r="C957" s="3" t="s">
        <v>65</v>
      </c>
      <c r="D957" s="6">
        <v>23280</v>
      </c>
    </row>
    <row r="958" spans="1:4" x14ac:dyDescent="0.25">
      <c r="A958" s="4">
        <v>46323</v>
      </c>
      <c r="B958" s="3">
        <v>101</v>
      </c>
      <c r="C958" s="3" t="s">
        <v>183</v>
      </c>
      <c r="D958" s="6">
        <v>10841.95</v>
      </c>
    </row>
    <row r="959" spans="1:4" ht="30" x14ac:dyDescent="0.25">
      <c r="A959" s="4">
        <v>46323</v>
      </c>
      <c r="B959" s="3">
        <v>101</v>
      </c>
      <c r="C959" s="3" t="s">
        <v>38</v>
      </c>
      <c r="D959" s="6">
        <v>-1036</v>
      </c>
    </row>
    <row r="960" spans="1:4" ht="30" x14ac:dyDescent="0.25">
      <c r="A960" s="4">
        <v>46323</v>
      </c>
      <c r="B960" s="3">
        <v>101</v>
      </c>
      <c r="C960" s="3" t="s">
        <v>38</v>
      </c>
      <c r="D960" s="6">
        <v>2924.4</v>
      </c>
    </row>
    <row r="961" spans="1:4" x14ac:dyDescent="0.25">
      <c r="A961" s="4">
        <v>46323</v>
      </c>
      <c r="B961" s="3">
        <v>101</v>
      </c>
      <c r="C961" s="3" t="s">
        <v>41</v>
      </c>
      <c r="D961" s="6">
        <v>15505.63</v>
      </c>
    </row>
    <row r="962" spans="1:4" x14ac:dyDescent="0.25">
      <c r="A962" s="4">
        <v>46323</v>
      </c>
      <c r="B962" s="3">
        <v>101</v>
      </c>
      <c r="C962" s="3" t="s">
        <v>244</v>
      </c>
      <c r="D962" s="6">
        <v>9934.01</v>
      </c>
    </row>
    <row r="963" spans="1:4" x14ac:dyDescent="0.25">
      <c r="A963" s="4">
        <v>46323</v>
      </c>
      <c r="B963" s="3">
        <v>101</v>
      </c>
      <c r="C963" s="3" t="s">
        <v>52</v>
      </c>
      <c r="D963" s="6">
        <v>1337.85</v>
      </c>
    </row>
    <row r="964" spans="1:4" x14ac:dyDescent="0.25">
      <c r="A964" s="4">
        <v>46323</v>
      </c>
      <c r="B964" s="3">
        <v>101</v>
      </c>
      <c r="C964" s="3" t="s">
        <v>85</v>
      </c>
      <c r="D964" s="6">
        <v>40166.03</v>
      </c>
    </row>
    <row r="965" spans="1:4" x14ac:dyDescent="0.25">
      <c r="A965" s="4">
        <v>46323</v>
      </c>
      <c r="B965" s="3">
        <v>101</v>
      </c>
      <c r="C965" s="3" t="s">
        <v>19</v>
      </c>
      <c r="D965" s="6">
        <v>1583</v>
      </c>
    </row>
    <row r="966" spans="1:4" x14ac:dyDescent="0.25">
      <c r="A966" s="4">
        <v>46323</v>
      </c>
      <c r="B966" s="3">
        <v>101</v>
      </c>
      <c r="C966" s="3" t="s">
        <v>29</v>
      </c>
      <c r="D966" s="6">
        <v>28889.22</v>
      </c>
    </row>
    <row r="967" spans="1:4" x14ac:dyDescent="0.25">
      <c r="A967" s="4">
        <v>46323</v>
      </c>
      <c r="B967" s="3">
        <v>101</v>
      </c>
      <c r="C967" s="3" t="s">
        <v>27</v>
      </c>
      <c r="D967" s="6">
        <v>-2797.2</v>
      </c>
    </row>
    <row r="968" spans="1:4" x14ac:dyDescent="0.25">
      <c r="A968" s="4">
        <v>46323</v>
      </c>
      <c r="B968" s="3">
        <v>101</v>
      </c>
      <c r="C968" s="3" t="s">
        <v>18</v>
      </c>
      <c r="D968" s="6">
        <v>7270.12</v>
      </c>
    </row>
    <row r="969" spans="1:4" x14ac:dyDescent="0.25">
      <c r="A969" s="4">
        <v>46323</v>
      </c>
      <c r="B969" s="3">
        <v>101</v>
      </c>
      <c r="C969" s="3" t="s">
        <v>18</v>
      </c>
      <c r="D969" s="6">
        <v>1899.2</v>
      </c>
    </row>
    <row r="970" spans="1:4" x14ac:dyDescent="0.25">
      <c r="A970" s="4">
        <v>46323</v>
      </c>
      <c r="B970" s="3">
        <v>101</v>
      </c>
      <c r="C970" s="3" t="s">
        <v>18</v>
      </c>
      <c r="D970" s="6">
        <v>11332</v>
      </c>
    </row>
    <row r="971" spans="1:4" x14ac:dyDescent="0.25">
      <c r="A971" s="4">
        <v>46323</v>
      </c>
      <c r="B971" s="3">
        <v>101</v>
      </c>
      <c r="C971" s="3" t="s">
        <v>40</v>
      </c>
      <c r="D971" s="6">
        <v>3154.98</v>
      </c>
    </row>
    <row r="972" spans="1:4" x14ac:dyDescent="0.25">
      <c r="A972" s="4">
        <v>46323</v>
      </c>
      <c r="B972" s="3">
        <v>101</v>
      </c>
      <c r="C972" s="3" t="s">
        <v>12</v>
      </c>
      <c r="D972" s="6">
        <v>4590.1400000000003</v>
      </c>
    </row>
    <row r="973" spans="1:4" x14ac:dyDescent="0.25">
      <c r="A973" s="4">
        <v>46323</v>
      </c>
      <c r="B973" s="3">
        <v>101</v>
      </c>
      <c r="C973" s="3" t="s">
        <v>61</v>
      </c>
      <c r="D973" s="6">
        <v>8741.0300000000007</v>
      </c>
    </row>
    <row r="974" spans="1:4" x14ac:dyDescent="0.25">
      <c r="A974" s="4">
        <v>46323</v>
      </c>
      <c r="B974" s="3">
        <v>101</v>
      </c>
      <c r="C974" s="3" t="s">
        <v>194</v>
      </c>
      <c r="D974" s="3">
        <v>416.9</v>
      </c>
    </row>
    <row r="975" spans="1:4" x14ac:dyDescent="0.25">
      <c r="A975" s="4">
        <v>46323</v>
      </c>
      <c r="B975" s="3">
        <v>101</v>
      </c>
      <c r="C975" s="3" t="s">
        <v>55</v>
      </c>
      <c r="D975" s="6">
        <v>1023.65</v>
      </c>
    </row>
    <row r="976" spans="1:4" x14ac:dyDescent="0.25">
      <c r="A976" s="4">
        <v>46323</v>
      </c>
      <c r="B976" s="3">
        <v>101</v>
      </c>
      <c r="C976" s="3" t="s">
        <v>48</v>
      </c>
      <c r="D976" s="6">
        <v>4587.47</v>
      </c>
    </row>
    <row r="977" spans="1:4" x14ac:dyDescent="0.25">
      <c r="A977" s="4">
        <v>46323</v>
      </c>
      <c r="B977" s="3">
        <v>101</v>
      </c>
      <c r="C977" s="3" t="s">
        <v>48</v>
      </c>
      <c r="D977" s="6">
        <v>1990.08</v>
      </c>
    </row>
    <row r="978" spans="1:4" x14ac:dyDescent="0.25">
      <c r="A978" s="4">
        <v>46323</v>
      </c>
      <c r="B978" s="3">
        <v>101</v>
      </c>
      <c r="C978" s="3" t="s">
        <v>48</v>
      </c>
      <c r="D978" s="6">
        <v>2023.32</v>
      </c>
    </row>
    <row r="979" spans="1:4" x14ac:dyDescent="0.25">
      <c r="A979" s="4">
        <v>46323</v>
      </c>
      <c r="B979" s="3">
        <v>101</v>
      </c>
      <c r="C979" s="3" t="s">
        <v>247</v>
      </c>
      <c r="D979" s="6">
        <v>2760</v>
      </c>
    </row>
    <row r="980" spans="1:4" x14ac:dyDescent="0.25">
      <c r="A980" s="4">
        <v>46323</v>
      </c>
      <c r="B980" s="3">
        <v>101</v>
      </c>
      <c r="C980" s="3" t="s">
        <v>185</v>
      </c>
      <c r="D980" s="3">
        <v>200</v>
      </c>
    </row>
    <row r="981" spans="1:4" x14ac:dyDescent="0.25">
      <c r="A981" s="4">
        <v>46323</v>
      </c>
      <c r="B981" s="3">
        <v>101</v>
      </c>
      <c r="C981" s="3" t="s">
        <v>5</v>
      </c>
      <c r="D981" s="3">
        <v>894</v>
      </c>
    </row>
    <row r="982" spans="1:4" x14ac:dyDescent="0.25">
      <c r="A982" s="4">
        <v>46323</v>
      </c>
      <c r="B982" s="3">
        <v>101</v>
      </c>
      <c r="C982" s="3" t="s">
        <v>2</v>
      </c>
      <c r="D982" s="6">
        <v>27847.200000000001</v>
      </c>
    </row>
    <row r="983" spans="1:4" ht="30" x14ac:dyDescent="0.25">
      <c r="A983" s="4">
        <v>46323</v>
      </c>
      <c r="B983" s="3">
        <v>101</v>
      </c>
      <c r="C983" s="3" t="s">
        <v>232</v>
      </c>
      <c r="D983" s="6">
        <v>-4320</v>
      </c>
    </row>
    <row r="984" spans="1:4" x14ac:dyDescent="0.25">
      <c r="A984" s="4">
        <v>46323</v>
      </c>
      <c r="B984" s="3">
        <v>101</v>
      </c>
      <c r="C984" s="3" t="s">
        <v>4</v>
      </c>
      <c r="D984" s="6">
        <v>1067.04</v>
      </c>
    </row>
    <row r="985" spans="1:4" x14ac:dyDescent="0.25">
      <c r="A985" s="4">
        <v>46323</v>
      </c>
      <c r="B985" s="3">
        <v>101</v>
      </c>
      <c r="C985" s="3" t="s">
        <v>4</v>
      </c>
      <c r="D985" s="3">
        <v>608.28</v>
      </c>
    </row>
    <row r="986" spans="1:4" x14ac:dyDescent="0.25">
      <c r="A986" s="4">
        <v>46323</v>
      </c>
      <c r="B986" s="3">
        <v>101</v>
      </c>
      <c r="C986" s="3" t="s">
        <v>4</v>
      </c>
      <c r="D986" s="6">
        <v>1689.5</v>
      </c>
    </row>
    <row r="987" spans="1:4" x14ac:dyDescent="0.25">
      <c r="A987" s="4">
        <v>46323</v>
      </c>
      <c r="B987" s="3">
        <v>101</v>
      </c>
      <c r="C987" s="3" t="s">
        <v>4</v>
      </c>
      <c r="D987" s="3">
        <v>710.41</v>
      </c>
    </row>
    <row r="988" spans="1:4" x14ac:dyDescent="0.25">
      <c r="A988" s="4">
        <v>46323</v>
      </c>
      <c r="B988" s="3">
        <v>101</v>
      </c>
      <c r="C988" s="3" t="s">
        <v>4</v>
      </c>
      <c r="D988" s="3">
        <v>457.8</v>
      </c>
    </row>
    <row r="989" spans="1:4" x14ac:dyDescent="0.25">
      <c r="A989" s="4">
        <v>46323</v>
      </c>
      <c r="B989" s="3">
        <v>101</v>
      </c>
      <c r="C989" s="3" t="s">
        <v>4</v>
      </c>
      <c r="D989" s="3">
        <v>-539.54999999999995</v>
      </c>
    </row>
    <row r="990" spans="1:4" x14ac:dyDescent="0.25">
      <c r="A990" s="4">
        <v>46323</v>
      </c>
      <c r="B990" s="3">
        <v>101</v>
      </c>
      <c r="C990" s="3" t="s">
        <v>4</v>
      </c>
      <c r="D990" s="3">
        <v>457.8</v>
      </c>
    </row>
    <row r="991" spans="1:4" x14ac:dyDescent="0.25">
      <c r="A991" s="4">
        <v>46323</v>
      </c>
      <c r="B991" s="3">
        <v>101</v>
      </c>
      <c r="C991" s="3" t="s">
        <v>4</v>
      </c>
      <c r="D991" s="3">
        <v>373.9</v>
      </c>
    </row>
    <row r="992" spans="1:4" x14ac:dyDescent="0.25">
      <c r="A992" s="4">
        <v>46323</v>
      </c>
      <c r="B992" s="3">
        <v>101</v>
      </c>
      <c r="C992" s="3" t="s">
        <v>4</v>
      </c>
      <c r="D992" s="3">
        <v>366.24</v>
      </c>
    </row>
    <row r="993" spans="1:4" x14ac:dyDescent="0.25">
      <c r="A993" s="4">
        <v>46323</v>
      </c>
      <c r="B993" s="3">
        <v>101</v>
      </c>
      <c r="C993" s="3" t="s">
        <v>4</v>
      </c>
      <c r="D993" s="3">
        <v>396.76</v>
      </c>
    </row>
    <row r="994" spans="1:4" x14ac:dyDescent="0.25">
      <c r="A994" s="4">
        <v>46323</v>
      </c>
      <c r="B994" s="3">
        <v>101</v>
      </c>
      <c r="C994" s="3" t="s">
        <v>4</v>
      </c>
      <c r="D994" s="3">
        <v>224.34</v>
      </c>
    </row>
    <row r="995" spans="1:4" x14ac:dyDescent="0.25">
      <c r="A995" s="4">
        <v>46323</v>
      </c>
      <c r="B995" s="3">
        <v>101</v>
      </c>
      <c r="C995" s="3" t="s">
        <v>156</v>
      </c>
      <c r="D995" s="3">
        <v>100.8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FaturamentoBruto</vt:lpstr>
      <vt:lpstr>Faturamento por cliente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Pedro  Andrade - Master Higimed</cp:lastModifiedBy>
  <dcterms:created xsi:type="dcterms:W3CDTF">2026-10-19T15:43:16Z</dcterms:created>
  <dcterms:modified xsi:type="dcterms:W3CDTF">2026-10-29T15:59:38Z</dcterms:modified>
</cp:coreProperties>
</file>