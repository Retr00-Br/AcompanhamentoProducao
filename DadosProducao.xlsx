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A978BDAA-FAB8-4C4E-8523-6C8962F8B57A}" xr6:coauthVersionLast="47" xr6:coauthVersionMax="47" xr10:uidLastSave="{00000000-0000-0000-0000-000000000000}"/>
  <bookViews>
    <workbookView xWindow="-120" yWindow="-120" windowWidth="20730" windowHeight="11040" xr2:uid="{3AA6C56D-DA97-499B-A05C-D9170B04DAB1}"/>
  </bookViews>
  <sheets>
    <sheet name="DadosBrutos" sheetId="1" r:id="rId1"/>
    <sheet name="LimpezaDados" sheetId="2" r:id="rId2"/>
    <sheet name="DadosBacklogXSaudavel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3" l="1"/>
  <c r="B16" i="3"/>
  <c r="A1" i="3" a="1"/>
  <c r="B16" i="2"/>
  <c r="A1" i="2" a="1"/>
  <c r="B15" i="2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  <c r="C15" i="3" l="1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<sst xmlns="http://schemas.openxmlformats.org/spreadsheetml/2006/main" count="4291" uniqueCount="167">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</sst>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0" fontId="12" fillId="8" borderId="4" xfId="0" applyFont="1" applyFill="1" applyBorder="1"/>
    <xf numFmtId="0" fontId="14" fillId="7" borderId="7" xfId="0" applyFont="1" applyFill="1" applyBorder="1"/>
    <xf numFmtId="0" fontId="9" fillId="0" borderId="9" xfId="0" applyFont="1" applyBorder="1"/>
    <xf numFmtId="0" fontId="11" fillId="9" borderId="7" xfId="0" applyFont="1" applyFill="1" applyBorder="1"/>
    <xf numFmtId="0" fontId="11" fillId="10" borderId="7" xfId="0" applyFont="1" applyFill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file:///C:\Users\pedro.andrade\Downloads\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H1008"/>
  <sheetViews>
    <sheetView tabSelected="1" topLeftCell="A991" workbookViewId="0">
      <selection activeCell="F1008" sqref="F1008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 t="e">
        <f>IF(A2="","",COUNTIF([1]SKU!C:C,A2))</f>
        <v>#VALUE!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 t="e">
        <f>IF(A3="","",COUNTIF([1]SKU!C:C,A3))</f>
        <v>#VALUE!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 t="e">
        <f>IF(A4="","",COUNTIF([1]SKU!C:C,A4))</f>
        <v>#VALUE!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 t="e">
        <f>IF(A5="","",COUNTIF([1]SKU!C:C,A5))</f>
        <v>#VALUE!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 t="e">
        <f>IF(A6="","",COUNTIF([1]SKU!C:C,A6))</f>
        <v>#VALUE!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 t="e">
        <f>IF(A7="","",COUNTIF([1]SKU!C:C,A7))</f>
        <v>#VALUE!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 t="e">
        <f>IF(A8="","",COUNTIF([1]SKU!C:C,A8))</f>
        <v>#VALUE!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 t="e">
        <f>IF(A9="","",COUNTIF([1]SKU!C:C,A9))</f>
        <v>#VALUE!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 t="e">
        <f>IF(A10="","",COUNTIF([1]SKU!C:C,A10))</f>
        <v>#VALUE!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 t="e">
        <f>IF(A11="","",COUNTIF([1]SKU!C:C,A11))</f>
        <v>#VALUE!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 t="e">
        <f>IF(A12="","",COUNTIF([1]SKU!C:C,A12))</f>
        <v>#VALUE!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 t="e">
        <f>IF(A13="","",COUNTIF([1]SKU!C:C,A13))</f>
        <v>#VALUE!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 t="e">
        <f>IF(A14="","",COUNTIF([1]SKU!C:C,A14))</f>
        <v>#VALUE!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 t="e">
        <f>IF(A15="","",COUNTIF([1]SKU!C:C,A15))</f>
        <v>#VALUE!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 t="e">
        <f>IF(A16="","",COUNTIF([1]SKU!C:C,A16))</f>
        <v>#VALUE!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 t="e">
        <f>IF(A17="","",COUNTIF([1]SKU!C:C,A17))</f>
        <v>#VALUE!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 t="e">
        <f>IF(A18="","",COUNTIF([1]SKU!C:C,A18))</f>
        <v>#VALUE!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 t="e">
        <f>IF(A19="","",COUNTIF([1]SKU!C:C,A19))</f>
        <v>#VALUE!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 t="e">
        <f>IF(A20="","",COUNTIF([1]SKU!C:C,A20))</f>
        <v>#VALUE!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 t="e">
        <f>IF(A21="","",COUNTIF([1]SKU!C:C,A21))</f>
        <v>#VALUE!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 t="e">
        <f>IF(A22="","",COUNTIF([1]SKU!C:C,A22))</f>
        <v>#VALUE!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 t="e">
        <f>IF(A23="","",COUNTIF([1]SKU!C:C,A23))</f>
        <v>#VALUE!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 t="e">
        <f>IF(A24="","",COUNTIF([1]SKU!C:C,A24))</f>
        <v>#VALUE!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 t="e">
        <f>IF(A25="","",COUNTIF([1]SKU!C:C,A25))</f>
        <v>#VALUE!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 t="e">
        <f>IF(A27="","",COUNTIF([1]SKU!C:C,A27))</f>
        <v>#VALUE!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 t="e">
        <f>IF(A29="","",COUNTIF([1]SKU!C:C,A29))</f>
        <v>#VALUE!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 t="e">
        <f>IF(A30="","",COUNTIF([1]SKU!C:C,A30))</f>
        <v>#VALUE!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 t="e">
        <f>IF(A31="","",COUNTIF([1]SKU!C:C,A31))</f>
        <v>#VALUE!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 t="e">
        <f>IF(A32="","",COUNTIF([1]SKU!C:C,A32))</f>
        <v>#VALUE!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 t="e">
        <f>IF(A33="","",COUNTIF([1]SKU!C:C,A33))</f>
        <v>#VALUE!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 t="e">
        <f>IF(A35="","",COUNTIF([1]SKU!C:C,A35))</f>
        <v>#VALUE!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 t="e">
        <f>IF(A37="","",COUNTIF([1]SKU!C:C,A37))</f>
        <v>#VALUE!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 t="e">
        <f>IF(A38="","",COUNTIF([1]SKU!C:C,A38))</f>
        <v>#VALUE!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 t="e">
        <f>IF(A39="","",COUNTIF([1]SKU!C:C,A39))</f>
        <v>#VALUE!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 t="e">
        <f>IF(A40="","",COUNTIF([1]SKU!C:C,A40))</f>
        <v>#VALUE!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 t="e">
        <f>IF(A41="","",COUNTIF([1]SKU!C:C,A41))</f>
        <v>#VALUE!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 t="e">
        <f>IF(A42="","",COUNTIF([1]SKU!C:C,A42))</f>
        <v>#VALUE!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 t="e">
        <f>IF(A43="","",COUNTIF([1]SKU!C:C,A43))</f>
        <v>#VALUE!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 t="e">
        <f>IF(A44="","",COUNTIF([1]SKU!C:C,A44))</f>
        <v>#VALUE!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 t="e">
        <f>IF(A45="","",COUNTIF([1]SKU!C:C,A45))</f>
        <v>#VALUE!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 t="e">
        <f>IF(A46="","",COUNTIF([1]SKU!C:C,A46))</f>
        <v>#VALUE!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 t="e">
        <f>IF(A47="","",COUNTIF([1]SKU!C:C,A47))</f>
        <v>#VALUE!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 t="e">
        <f>IF(A48="","",COUNTIF([1]SKU!C:C,A48))</f>
        <v>#VALUE!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 t="e">
        <f>IF(A49="","",COUNTIF([1]SKU!C:C,A49))</f>
        <v>#VALUE!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 t="e">
        <f>IF(A50="","",COUNTIF([1]SKU!C:C,A50))</f>
        <v>#VALUE!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 t="e">
        <f>IF(A51="","",COUNTIF([1]SKU!C:C,A51))</f>
        <v>#VALUE!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 t="e">
        <f>IF(A53="","",COUNTIF([1]SKU!C:C,A53))</f>
        <v>#VALUE!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 t="e">
        <f>IF(A54="","",COUNTIF([1]SKU!C:C,A54))</f>
        <v>#VALUE!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 t="e">
        <f>IF(A55="","",COUNTIF([1]SKU!C:C,A55))</f>
        <v>#VALUE!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 t="e">
        <f>IF(A56="","",COUNTIF([1]SKU!C:C,A56))</f>
        <v>#VALUE!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 t="e">
        <f>IF(A57="","",COUNTIF([1]SKU!C:C,A57))</f>
        <v>#VALUE!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 t="e">
        <f>IF(A58="","",COUNTIF([1]SKU!C:C,A58))</f>
        <v>#VALUE!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 t="e">
        <f>IF(A59="","",COUNTIF([1]SKU!C:C,A59))</f>
        <v>#VALUE!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 t="e">
        <f>IF(A60="","",COUNTIF([1]SKU!C:C,A60))</f>
        <v>#VALUE!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 t="e">
        <f>IF(A61="","",COUNTIF([1]SKU!C:C,A61))</f>
        <v>#VALUE!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 t="e">
        <f>IF(A62="","",COUNTIF([1]SKU!C:C,A62))</f>
        <v>#VALUE!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 t="e">
        <f>IF(A63="","",COUNTIF([1]SKU!C:C,A63))</f>
        <v>#VALUE!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 t="e">
        <f>IF(A64="","",COUNTIF([1]SKU!C:C,A64))</f>
        <v>#VALUE!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 t="e">
        <f>IF(A65="","",COUNTIF([1]SKU!C:C,A65))</f>
        <v>#VALUE!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 t="e">
        <f>IF(A66="","",COUNTIF([1]SKU!C:C,A66))</f>
        <v>#VALUE!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 t="e">
        <f>IF(A67="","",COUNTIF([1]SKU!C:C,A67))</f>
        <v>#VALUE!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 t="e">
        <f>IF(A68="","",COUNTIF([1]SKU!C:C,A68))</f>
        <v>#VALUE!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 t="e">
        <f>IF(A69="","",COUNTIF([1]SKU!C:C,A69))</f>
        <v>#VALUE!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 t="e">
        <f>IF(A70="","",COUNTIF([1]SKU!C:C,A70))</f>
        <v>#VALUE!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 t="e">
        <f>IF(A71="","",COUNTIF([1]SKU!C:C,A71))</f>
        <v>#VALUE!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 t="e">
        <f>IF(A72="","",COUNTIF([1]SKU!C:C,A72))</f>
        <v>#VALUE!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 t="e">
        <f>IF(A73="","",COUNTIF([1]SKU!C:C,A73))</f>
        <v>#VALUE!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 t="e">
        <f>IF(A75="","",COUNTIF([1]SKU!C:C,A75))</f>
        <v>#VALUE!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 t="e">
        <f>IF(A76="","",COUNTIF([1]SKU!C:C,A76))</f>
        <v>#VALUE!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 t="e">
        <f>IF(A77="","",COUNTIF([1]SKU!C:C,A77))</f>
        <v>#VALUE!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 t="e">
        <f>IF(A78="","",COUNTIF([1]SKU!C:C,A78))</f>
        <v>#VALUE!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 t="e">
        <f>IF(A79="","",COUNTIF([1]SKU!C:C,A79))</f>
        <v>#VALUE!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 t="e">
        <f>IF(A80="","",COUNTIF([1]SKU!C:C,A80))</f>
        <v>#VALUE!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 t="e">
        <f>IF(A81="","",COUNTIF([1]SKU!C:C,A81))</f>
        <v>#VALUE!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 t="e">
        <f>IF(A82="","",COUNTIF([1]SKU!C:C,A82))</f>
        <v>#VALUE!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 t="e">
        <f>IF(A83="","",COUNTIF([1]SKU!C:C,A83))</f>
        <v>#VALUE!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 t="e">
        <f>IF(A84="","",COUNTIF([1]SKU!C:C,A84))</f>
        <v>#VALUE!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 t="e">
        <f>IF(A85="","",COUNTIF([1]SKU!C:C,A85))</f>
        <v>#VALUE!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 t="e">
        <f>IF(A86="","",COUNTIF([1]SKU!C:C,A86))</f>
        <v>#VALUE!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 t="e">
        <f>IF(A87="","",COUNTIF([1]SKU!C:C,A87))</f>
        <v>#VALUE!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 t="e">
        <f>IF(A88="","",COUNTIF([1]SKU!C:C,A88))</f>
        <v>#VALUE!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 t="e">
        <f>IF(A89="","",COUNTIF([1]SKU!C:C,A89))</f>
        <v>#VALUE!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 t="e">
        <f>IF(A90="","",COUNTIF([1]SKU!C:C,A90))</f>
        <v>#VALUE!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 t="e">
        <f>IF(A91="","",COUNTIF([1]SKU!C:C,A91))</f>
        <v>#VALUE!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 t="e">
        <f>IF(A92="","",COUNTIF([1]SKU!C:C,A92))</f>
        <v>#VALUE!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 t="e">
        <f>IF(A93="","",COUNTIF([1]SKU!C:C,A93))</f>
        <v>#VALUE!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 t="e">
        <f>IF(A94="","",COUNTIF([1]SKU!C:C,A94))</f>
        <v>#VALUE!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 t="e">
        <f>IF(A95="","",COUNTIF([1]SKU!C:C,A95))</f>
        <v>#VALUE!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 t="e">
        <f>IF(A96="","",COUNTIF([1]SKU!C:C,A96))</f>
        <v>#VALUE!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 t="e">
        <f>IF(A97="","",COUNTIF([1]SKU!C:C,A97))</f>
        <v>#VALUE!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 t="e">
        <f>IF(A98="","",COUNTIF([1]SKU!C:C,A98))</f>
        <v>#VALUE!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 t="e">
        <f>IF(A99="","",COUNTIF([1]SKU!C:C,A99))</f>
        <v>#VALUE!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 t="e">
        <f>IF(A100="","",COUNTIF([1]SKU!C:C,A100))</f>
        <v>#VALUE!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 t="e">
        <f>IF(A101="","",COUNTIF([1]SKU!C:C,A101))</f>
        <v>#VALUE!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 t="e">
        <f>IF(A102="","",COUNTIF([1]SKU!C:C,A102))</f>
        <v>#VALUE!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 t="e">
        <f>IF(A103="","",COUNTIF([1]SKU!C:C,A103))</f>
        <v>#VALUE!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 t="e">
        <f>IF(A104="","",COUNTIF([1]SKU!C:C,A104))</f>
        <v>#VALUE!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 t="e">
        <f>IF(A105="","",COUNTIF([1]SKU!C:C,A105))</f>
        <v>#VALUE!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 t="e">
        <f>IF(A106="","",COUNTIF([1]SKU!C:C,A106))</f>
        <v>#VALUE!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 t="e">
        <f>IF(A107="","",COUNTIF([1]SKU!C:C,A107))</f>
        <v>#VALUE!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 t="e">
        <f>IF(A108="","",COUNTIF([1]SKU!C:C,A108))</f>
        <v>#VALUE!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 t="e">
        <f>IF(A109="","",COUNTIF([1]SKU!C:C,A109))</f>
        <v>#VALUE!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 t="e">
        <f>IF(A111="","",COUNTIF([1]SKU!C:C,A111))</f>
        <v>#VALUE!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 t="e">
        <f>IF(A112="","",COUNTIF([1]SKU!C:C,A112))</f>
        <v>#VALUE!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 t="e">
        <f>IF(A113="","",COUNTIF([1]SKU!C:C,A113))</f>
        <v>#VALUE!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 t="e">
        <f>IF(A114="","",COUNTIF([1]SKU!C:C,A114))</f>
        <v>#VALUE!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 t="e">
        <f>IF(A115="","",COUNTIF([1]SKU!C:C,A115))</f>
        <v>#VALUE!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 t="e">
        <f>IF(A116="","",COUNTIF([1]SKU!C:C,A116))</f>
        <v>#VALUE!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 t="e">
        <f>IF(A117="","",COUNTIF([1]SKU!C:C,A117))</f>
        <v>#VALUE!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 t="e">
        <f>IF(A118="","",COUNTIF([1]SKU!C:C,A118))</f>
        <v>#VALUE!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 t="e">
        <f>IF(A119="","",COUNTIF([1]SKU!C:C,A119))</f>
        <v>#VALUE!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 t="e">
        <f>IF(A120="","",COUNTIF([1]SKU!C:C,A120))</f>
        <v>#VALUE!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 t="e">
        <f>IF(A121="","",COUNTIF([1]SKU!C:C,A121))</f>
        <v>#VALUE!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 t="e">
        <f>IF(A122="","",COUNTIF([1]SKU!C:C,A122))</f>
        <v>#VALUE!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 t="e">
        <f>IF(A123="","",COUNTIF([1]SKU!C:C,A123))</f>
        <v>#VALUE!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 t="e">
        <f>IF(A124="","",COUNTIF([1]SKU!C:C,A124))</f>
        <v>#VALUE!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 t="e">
        <f>IF(A125="","",COUNTIF([1]SKU!C:C,A125))</f>
        <v>#VALUE!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 t="e">
        <f>IF(A126="","",COUNTIF([1]SKU!C:C,A126))</f>
        <v>#VALUE!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 t="e">
        <f>IF(A127="","",COUNTIF([1]SKU!C:C,A127))</f>
        <v>#VALUE!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 t="e">
        <f>IF(A128="","",COUNTIF([1]SKU!C:C,A128))</f>
        <v>#VALUE!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 t="e">
        <f>IF(A129="","",COUNTIF([1]SKU!C:C,A129))</f>
        <v>#VALUE!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 t="e">
        <f>IF(A130="","",COUNTIF([1]SKU!C:C,A130))</f>
        <v>#VALUE!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 t="e">
        <f>IF(A131="","",COUNTIF([1]SKU!C:C,A131))</f>
        <v>#VALUE!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 t="e">
        <f>IF(A132="","",COUNTIF([1]SKU!C:C,A132))</f>
        <v>#VALUE!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 t="e">
        <f>IF(A133="","",COUNTIF([1]SKU!C:C,A133))</f>
        <v>#VALUE!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 t="e">
        <f>IF(A134="","",COUNTIF([1]SKU!C:C,A134))</f>
        <v>#VALUE!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 t="e">
        <f>IF(A135="","",COUNTIF([1]SKU!C:C,A135))</f>
        <v>#VALUE!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 t="e">
        <f>IF(A136="","",COUNTIF([1]SKU!C:C,A136))</f>
        <v>#VALUE!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 t="e">
        <f>IF(A137="","",COUNTIF([1]SKU!C:C,A137))</f>
        <v>#VALUE!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 t="e">
        <f>IF(A138="","",COUNTIF([1]SKU!C:C,A138))</f>
        <v>#VALUE!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 t="e">
        <f>IF(A141="","",COUNTIF([1]SKU!C:C,A141))</f>
        <v>#VALUE!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 t="e">
        <f>IF(A143="","",COUNTIF([1]SKU!C:C,A143))</f>
        <v>#VALUE!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 t="e">
        <f>IF(A144="","",COUNTIF([1]SKU!C:C,A144))</f>
        <v>#VALUE!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 t="e">
        <f>IF(A147="","",COUNTIF([1]SKU!C:C,A147))</f>
        <v>#VALUE!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 t="e">
        <f>IF(A148="","",COUNTIF([1]SKU!C:C,A148))</f>
        <v>#VALUE!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 t="e">
        <f>IF(A149="","",COUNTIF([1]SKU!C:C,A149))</f>
        <v>#VALUE!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 t="e">
        <f>IF(A150="","",COUNTIF([1]SKU!C:C,A150))</f>
        <v>#VALUE!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 t="e">
        <f>IF(A151="","",COUNTIF([1]SKU!C:C,A151))</f>
        <v>#VALUE!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 t="e">
        <f>IF(A152="","",COUNTIF([1]SKU!C:C,A152))</f>
        <v>#VALUE!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 t="e">
        <f>IF(A153="","",COUNTIF([1]SKU!C:C,A153))</f>
        <v>#VALUE!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 t="e">
        <f>IF(A154="","",COUNTIF([1]SKU!C:C,A154))</f>
        <v>#VALUE!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 t="e">
        <f>IF(A156="","",COUNTIF([1]SKU!C:C,A156))</f>
        <v>#VALUE!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 t="e">
        <f>IF(A158="","",COUNTIF([1]SKU!C:C,A158))</f>
        <v>#VALUE!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 t="e">
        <f>IF(A159="","",COUNTIF([1]SKU!C:C,A159))</f>
        <v>#VALUE!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 t="e">
        <f>IF(A160="","",COUNTIF([1]SKU!C:C,A160))</f>
        <v>#VALUE!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 t="e">
        <f>IF(A161="","",COUNTIF([1]SKU!C:C,A161))</f>
        <v>#VALUE!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 t="e">
        <f>IF(A162="","",COUNTIF([1]SKU!C:C,A162))</f>
        <v>#VALUE!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 t="e">
        <f>IF(A163="","",COUNTIF([1]SKU!C:C,A163))</f>
        <v>#VALUE!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 t="e">
        <f>IF(A164="","",COUNTIF([1]SKU!C:C,A164))</f>
        <v>#VALUE!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 t="e">
        <f>IF(A165="","",COUNTIF([1]SKU!C:C,A165))</f>
        <v>#VALUE!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 t="e">
        <f>IF(A166="","",COUNTIF([1]SKU!C:C,A166))</f>
        <v>#VALUE!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 t="e">
        <f>IF(A167="","",COUNTIF([1]SKU!C:C,A167))</f>
        <v>#VALUE!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 t="e">
        <f>IF(A168="","",COUNTIF([1]SKU!C:C,A168))</f>
        <v>#VALUE!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 t="e">
        <f>IF(A169="","",COUNTIF([1]SKU!C:C,A169))</f>
        <v>#VALUE!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 t="e">
        <f>IF(A170="","",COUNTIF([1]SKU!C:C,A170))</f>
        <v>#VALUE!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 t="e">
        <f>IF(A171="","",COUNTIF([1]SKU!C:C,A171))</f>
        <v>#VALUE!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 t="e">
        <f>IF(A173="","",COUNTIF([1]SKU!C:C,A173))</f>
        <v>#VALUE!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 t="e">
        <f>IF(A174="","",COUNTIF([1]SKU!C:C,A174))</f>
        <v>#VALUE!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 t="e">
        <f>IF(A181="","",COUNTIF([1]SKU!C:C,A181))</f>
        <v>#VALUE!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 t="e">
        <f>IF(A182="","",COUNTIF([1]SKU!C:C,A182))</f>
        <v>#VALUE!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 t="e">
        <f>IF(A183="","",COUNTIF([1]SKU!C:C,A183))</f>
        <v>#VALUE!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 t="e">
        <f>IF(A184="","",COUNTIF([1]SKU!C:C,A184))</f>
        <v>#VALUE!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 t="e">
        <f>IF(A185="","",COUNTIF([1]SKU!C:C,A185))</f>
        <v>#VALUE!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 t="e">
        <f>IF(A186="","",COUNTIF([1]SKU!C:C,A186))</f>
        <v>#VALUE!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 t="e">
        <f>IF(A187="","",COUNTIF([1]SKU!C:C,A187))</f>
        <v>#VALUE!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 t="e">
        <f>IF(A188="","",COUNTIF([1]SKU!C:C,A188))</f>
        <v>#VALUE!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 t="e">
        <f>IF(A189="","",COUNTIF([1]SKU!C:C,A189))</f>
        <v>#VALUE!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 t="e">
        <f>IF(A190="","",COUNTIF([1]SKU!C:C,A190))</f>
        <v>#VALUE!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 t="e">
        <f>IF(A192="","",COUNTIF([1]SKU!C:C,A192))</f>
        <v>#VALUE!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 t="e">
        <f>IF(A193="","",COUNTIF([1]SKU!C:C,A193))</f>
        <v>#VALUE!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 t="e">
        <f>IF(A194="","",COUNTIF([1]SKU!C:C,A194))</f>
        <v>#VALUE!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 t="e">
        <f>IF(A195="","",COUNTIF([1]SKU!C:C,A195))</f>
        <v>#VALUE!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 t="e">
        <f>IF(A196="","",COUNTIF([1]SKU!C:C,A196))</f>
        <v>#VALUE!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 t="e">
        <f>IF(A198="","",COUNTIF([1]SKU!C:C,A198))</f>
        <v>#VALUE!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 t="e">
        <f>IF(A199="","",COUNTIF([1]SKU!C:C,A199))</f>
        <v>#VALUE!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 t="e">
        <f>IF(A200="","",COUNTIF([1]SKU!C:C,A200))</f>
        <v>#VALUE!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 t="e">
        <f>IF(A201="","",COUNTIF([1]SKU!C:C,A201))</f>
        <v>#VALUE!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 t="e">
        <f>IF(A202="","",COUNTIF([1]SKU!C:C,A202))</f>
        <v>#VALUE!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 t="e">
        <f>IF(A203="","",COUNTIF([1]SKU!C:C,A203))</f>
        <v>#VALUE!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 t="e">
        <f>IF(A204="","",COUNTIF([1]SKU!C:C,A204))</f>
        <v>#VALUE!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 t="e">
        <f>IF(A205="","",COUNTIF([1]SKU!C:C,A205))</f>
        <v>#VALUE!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 t="e">
        <f>IF(A206="","",COUNTIF([1]SKU!C:C,A206))</f>
        <v>#VALUE!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 t="e">
        <f>IF(A207="","",COUNTIF([1]SKU!C:C,A207))</f>
        <v>#VALUE!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 t="e">
        <f>IF(A208="","",COUNTIF([1]SKU!C:C,A208))</f>
        <v>#VALUE!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 t="e">
        <f>IF(A209="","",COUNTIF([1]SKU!C:C,A209))</f>
        <v>#VALUE!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 t="e">
        <f>IF(A210="","",COUNTIF([1]SKU!C:C,A210))</f>
        <v>#VALUE!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 t="e">
        <f>IF(A211="","",COUNTIF([1]SKU!C:C,A211))</f>
        <v>#VALUE!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 t="e">
        <f>IF(A212="","",COUNTIF([1]SKU!C:C,A212))</f>
        <v>#VALUE!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 t="e">
        <f>IF(A213="","",COUNTIF([1]SKU!C:C,A213))</f>
        <v>#VALUE!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 t="e">
        <f>IF(A214="","",COUNTIF([1]SKU!C:C,A214))</f>
        <v>#VALUE!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 t="e">
        <f>IF(A215="","",COUNTIF([1]SKU!C:C,A215))</f>
        <v>#VALUE!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 t="e">
        <f>IF(A216="","",COUNTIF([1]SKU!C:C,A216))</f>
        <v>#VALUE!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 t="e">
        <f>IF(A217="","",COUNTIF([1]SKU!C:C,A217))</f>
        <v>#VALUE!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 t="e">
        <f>IF(A218="","",COUNTIF([1]SKU!C:C,A218))</f>
        <v>#VALUE!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 t="e">
        <f>IF(A219="","",COUNTIF([1]SKU!C:C,A219))</f>
        <v>#VALUE!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 t="e">
        <f>IF(A220="","",COUNTIF([1]SKU!C:C,A220))</f>
        <v>#VALUE!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 t="e">
        <f>IF(A221="","",COUNTIF([1]SKU!C:C,A221))</f>
        <v>#VALUE!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 t="e">
        <f>IF(A222="","",COUNTIF([1]SKU!C:C,A222))</f>
        <v>#VALUE!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 t="e">
        <f>IF(A223="","",COUNTIF([1]SKU!C:C,A223))</f>
        <v>#VALUE!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 t="e">
        <f>IF(A225="","",COUNTIF([1]SKU!C:C,A225))</f>
        <v>#VALUE!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 t="e">
        <f>IF(A226="","",COUNTIF([1]SKU!C:C,A226))</f>
        <v>#VALUE!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 t="e">
        <f>IF(A227="","",COUNTIF([1]SKU!C:C,A227))</f>
        <v>#VALUE!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 t="e">
        <f>IF(A228="","",COUNTIF([1]SKU!C:C,A228))</f>
        <v>#VALUE!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 t="e">
        <f>IF(A230="","",COUNTIF([1]SKU!C:C,A230))</f>
        <v>#VALUE!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 t="e">
        <f>IF(A231="","",COUNTIF([1]SKU!C:C,A231))</f>
        <v>#VALUE!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 t="e">
        <f>IF(A232="","",COUNTIF([1]SKU!C:C,A232))</f>
        <v>#VALUE!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 t="e">
        <f>IF(A233="","",COUNTIF([1]SKU!C:C,A233))</f>
        <v>#VALUE!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 t="e">
        <f>IF(A234="","",COUNTIF([1]SKU!C:C,A234))</f>
        <v>#VALUE!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 t="e">
        <f>IF(A235="","",COUNTIF([1]SKU!C:C,A235))</f>
        <v>#VALUE!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 t="e">
        <f>IF(A236="","",COUNTIF([1]SKU!C:C,A236))</f>
        <v>#VALUE!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 t="e">
        <f>IF(A237="","",COUNTIF([1]SKU!C:C,A237))</f>
        <v>#VALUE!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 t="e">
        <f>IF(A238="","",COUNTIF([1]SKU!C:C,A238))</f>
        <v>#VALUE!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 t="e">
        <f>IF(A239="","",COUNTIF([1]SKU!C:C,A239))</f>
        <v>#VALUE!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 t="e">
        <f>IF(A240="","",COUNTIF([1]SKU!C:C,A240))</f>
        <v>#VALUE!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 t="e">
        <f>IF(A241="","",COUNTIF([1]SKU!C:C,A241))</f>
        <v>#VALUE!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 t="e">
        <f>IF(A242="","",COUNTIF([1]SKU!C:C,A242))</f>
        <v>#VALUE!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 t="e">
        <f>IF(A243="","",COUNTIF([1]SKU!C:C,A243))</f>
        <v>#VALUE!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 t="e">
        <f>IF(A244="","",COUNTIF([1]SKU!C:C,A244))</f>
        <v>#VALUE!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 t="e">
        <f>IF(A245="","",COUNTIF([1]SKU!C:C,A245))</f>
        <v>#VALUE!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 t="e">
        <f>IF(A246="","",COUNTIF([1]SKU!C:C,A246))</f>
        <v>#VALUE!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 t="e">
        <f>IF(A247="","",COUNTIF([1]SKU!C:C,A247))</f>
        <v>#VALUE!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 t="e">
        <f>IF(A249="","",COUNTIF([1]SKU!C:C,A249))</f>
        <v>#VALUE!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 t="e">
        <f>IF(A251="","",COUNTIF([1]SKU!C:C,A251))</f>
        <v>#VALUE!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 t="e">
        <f>IF(A254="","",COUNTIF([1]SKU!C:C,A254))</f>
        <v>#VALUE!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 t="e">
        <f>IF(A255="","",COUNTIF([1]SKU!C:C,A255))</f>
        <v>#VALUE!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 t="e">
        <f>IF(A256="","",COUNTIF([1]SKU!C:C,A256))</f>
        <v>#VALUE!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 t="e">
        <f>IF(A257="","",COUNTIF([1]SKU!C:C,A257))</f>
        <v>#VALUE!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 t="e">
        <f>IF(A259="","",COUNTIF([1]SKU!C:C,A259))</f>
        <v>#VALUE!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 t="e">
        <f>IF(A260="","",COUNTIF([1]SKU!C:C,A260))</f>
        <v>#VALUE!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 t="e">
        <f>IF(A261="","",COUNTIF([1]SKU!C:C,A261))</f>
        <v>#VALUE!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 t="e">
        <f>IF(A262="","",COUNTIF([1]SKU!C:C,A262))</f>
        <v>#VALUE!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 t="e">
        <f>IF(A263="","",COUNTIF([1]SKU!C:C,A263))</f>
        <v>#VALUE!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 t="e">
        <f>IF(A264="","",COUNTIF([1]SKU!C:C,A264))</f>
        <v>#VALUE!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 t="e">
        <f>IF(A265="","",COUNTIF([1]SKU!C:C,A265))</f>
        <v>#VALUE!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 t="e">
        <f>IF(A266="","",COUNTIF([1]SKU!C:C,A266))</f>
        <v>#VALUE!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 t="e">
        <f>IF(A267="","",COUNTIF([1]SKU!C:C,A267))</f>
        <v>#VALUE!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 t="e">
        <f>IF(A268="","",COUNTIF([1]SKU!C:C,A268))</f>
        <v>#VALUE!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 t="e">
        <f>IF(A269="","",COUNTIF([1]SKU!C:C,A269))</f>
        <v>#VALUE!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 t="e">
        <f>IF(A270="","",COUNTIF([1]SKU!C:C,A270))</f>
        <v>#VALUE!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 t="e">
        <f>IF(A271="","",COUNTIF([1]SKU!C:C,A271))</f>
        <v>#VALUE!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 t="e">
        <f>IF(A272="","",COUNTIF([1]SKU!C:C,A272))</f>
        <v>#VALUE!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 t="e">
        <f>IF(A273="","",COUNTIF([1]SKU!C:C,A273))</f>
        <v>#VALUE!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 t="e">
        <f>IF(A275="","",COUNTIF([1]SKU!C:C,A275))</f>
        <v>#VALUE!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 t="e">
        <f>IF(A276="","",COUNTIF([1]SKU!C:C,A276))</f>
        <v>#VALUE!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 t="e">
        <f>IF(A278="","",COUNTIF([1]SKU!C:C,A278))</f>
        <v>#VALUE!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 t="e">
        <f>IF(A284="","",COUNTIF([1]SKU!C:C,A284))</f>
        <v>#VALUE!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 t="e">
        <f>IF(A286="","",COUNTIF([1]SKU!C:C,A286))</f>
        <v>#VALUE!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 t="e">
        <f>IF(A287="","",COUNTIF([1]SKU!C:C,A287))</f>
        <v>#VALUE!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 t="e">
        <f>IF(A288="","",COUNTIF([1]SKU!C:C,A288))</f>
        <v>#VALUE!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 t="e">
        <f>IF(A289="","",COUNTIF([1]SKU!C:C,A289))</f>
        <v>#VALUE!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 t="e">
        <f>IF(A290="","",COUNTIF([1]SKU!C:C,A290))</f>
        <v>#VALUE!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 t="e">
        <f>IF(A291="","",COUNTIF([1]SKU!C:C,A291))</f>
        <v>#VALUE!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 t="e">
        <f>IF(A292="","",COUNTIF([1]SKU!C:C,A292))</f>
        <v>#VALUE!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 t="e">
        <f>IF(A293="","",COUNTIF([1]SKU!C:C,A293))</f>
        <v>#VALUE!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 t="e">
        <f>IF(A294="","",COUNTIF([1]SKU!C:C,A294))</f>
        <v>#VALUE!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 t="e">
        <f>IF(A295="","",COUNTIF([1]SKU!C:C,A295))</f>
        <v>#VALUE!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 t="e">
        <f>IF(A296="","",COUNTIF([1]SKU!C:C,A296))</f>
        <v>#VALUE!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 t="e">
        <f>IF(A297="","",COUNTIF([1]SKU!C:C,A297))</f>
        <v>#VALUE!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 t="e">
        <f>IF(A300="","",COUNTIF([1]SKU!C:C,A300))</f>
        <v>#VALUE!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 t="e">
        <f>IF(A301="","",COUNTIF([1]SKU!C:C,A301))</f>
        <v>#VALUE!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 t="e">
        <f>IF(A302="","",COUNTIF([1]SKU!C:C,A302))</f>
        <v>#VALUE!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 t="e">
        <f>IF(A303="","",COUNTIF([1]SKU!C:C,A303))</f>
        <v>#VALUE!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 t="e">
        <f>IF(A304="","",COUNTIF([1]SKU!C:C,A304))</f>
        <v>#VALUE!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 t="e">
        <f>IF(A305="","",COUNTIF([1]SKU!C:C,A305))</f>
        <v>#VALUE!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 t="e">
        <f>IF(A306="","",COUNTIF([1]SKU!C:C,A306))</f>
        <v>#VALUE!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 t="e">
        <f>IF(A307="","",COUNTIF([1]SKU!C:C,A307))</f>
        <v>#VALUE!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 t="e">
        <f>IF(A308="","",COUNTIF([1]SKU!C:C,A308))</f>
        <v>#VALUE!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 t="e">
        <f>IF(A309="","",COUNTIF([1]SKU!C:C,A309))</f>
        <v>#VALUE!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 t="e">
        <f>IF(A310="","",COUNTIF([1]SKU!C:C,A310))</f>
        <v>#VALUE!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 t="e">
        <f>IF(A311="","",COUNTIF([1]SKU!C:C,A311))</f>
        <v>#VALUE!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 t="e">
        <f>IF(A312="","",COUNTIF([1]SKU!C:C,A312))</f>
        <v>#VALUE!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 t="e">
        <f>IF(A313="","",COUNTIF([1]SKU!C:C,A313))</f>
        <v>#VALUE!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 t="e">
        <f>IF(A314="","",COUNTIF([1]SKU!C:C,A314))</f>
        <v>#VALUE!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 t="e">
        <f>IF(A315="","",COUNTIF([1]SKU!C:C,A315))</f>
        <v>#VALUE!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 t="e">
        <f>IF(A316="","",COUNTIF([1]SKU!C:C,A316))</f>
        <v>#VALUE!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 t="e">
        <f>IF(A317="","",COUNTIF([1]SKU!C:C,A317))</f>
        <v>#VALUE!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 t="e">
        <f>IF(A318="","",COUNTIF([1]SKU!C:C,A318))</f>
        <v>#VALUE!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 t="e">
        <f>IF(A319="","",COUNTIF([1]SKU!C:C,A319))</f>
        <v>#VALUE!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 t="e">
        <f>IF(A320="","",COUNTIF([1]SKU!C:C,A320))</f>
        <v>#VALUE!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 t="e">
        <f>IF(A321="","",COUNTIF([1]SKU!C:C,A321))</f>
        <v>#VALUE!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 t="e">
        <f>IF(A322="","",COUNTIF([1]SKU!C:C,A322))</f>
        <v>#VALUE!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 t="e">
        <f>IF(A323="","",COUNTIF([1]SKU!C:C,A323))</f>
        <v>#VALUE!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 t="e">
        <f>IF(A324="","",COUNTIF([1]SKU!C:C,A324))</f>
        <v>#VALUE!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 t="e">
        <f>IF(A327="","",COUNTIF([1]SKU!C:C,A327))</f>
        <v>#VALUE!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 t="e">
        <f>IF(A328="","",COUNTIF([1]SKU!C:C,A328))</f>
        <v>#VALUE!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 t="e">
        <f>IF(A329="","",COUNTIF([1]SKU!C:C,A329))</f>
        <v>#VALUE!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 t="e">
        <f>IF(A330="","",COUNTIF([1]SKU!C:C,A330))</f>
        <v>#VALUE!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 t="e">
        <f>IF(A331="","",COUNTIF([1]SKU!C:C,A331))</f>
        <v>#VALUE!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 t="e">
        <f>IF(A332="","",COUNTIF([1]SKU!C:C,A332))</f>
        <v>#VALUE!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 t="e">
        <f>IF(A333="","",COUNTIF([1]SKU!C:C,A333))</f>
        <v>#VALUE!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 t="e">
        <f>IF(A336="","",COUNTIF([1]SKU!C:C,A336))</f>
        <v>#VALUE!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 t="e">
        <f>IF(A337="","",COUNTIF([1]SKU!C:C,A337))</f>
        <v>#VALUE!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 t="e">
        <f>IF(A338="","",COUNTIF([1]SKU!C:C,A338))</f>
        <v>#VALUE!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 t="e">
        <f>IF(A339="","",COUNTIF([1]SKU!C:C,A339))</f>
        <v>#VALUE!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 t="e">
        <f>IF(A340="","",COUNTIF([1]SKU!C:C,A340))</f>
        <v>#VALUE!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 t="e">
        <f>IF(A341="","",COUNTIF([1]SKU!C:C,A341))</f>
        <v>#VALUE!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 t="e">
        <f>IF(A342="","",COUNTIF([1]SKU!C:C,A342))</f>
        <v>#VALUE!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 t="e">
        <f>IF(A343="","",COUNTIF([1]SKU!C:C,A343))</f>
        <v>#VALUE!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 t="e">
        <f>IF(A344="","",COUNTIF([1]SKU!C:C,A344))</f>
        <v>#VALUE!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 t="e">
        <f>IF(A345="","",COUNTIF([1]SKU!C:C,A345))</f>
        <v>#VALUE!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 t="e">
        <f>IF(A346="","",COUNTIF([1]SKU!C:C,A346))</f>
        <v>#VALUE!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 t="e">
        <f>IF(A347="","",COUNTIF([1]SKU!C:C,A347))</f>
        <v>#VALUE!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 t="e">
        <f>IF(A348="","",COUNTIF([1]SKU!C:C,A348))</f>
        <v>#VALUE!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 t="e">
        <f>IF(A349="","",COUNTIF([1]SKU!C:C,A349))</f>
        <v>#VALUE!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 t="e">
        <f>IF(A350="","",COUNTIF([1]SKU!C:C,A350))</f>
        <v>#VALUE!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 t="e">
        <f>IF(A351="","",COUNTIF([1]SKU!C:C,A351))</f>
        <v>#VALUE!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 t="e">
        <f>IF(A352="","",COUNTIF([1]SKU!C:C,A352))</f>
        <v>#VALUE!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 t="e">
        <f>IF(A353="","",COUNTIF([1]SKU!C:C,A353))</f>
        <v>#VALUE!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 t="e">
        <f>IF(A354="","",COUNTIF([1]SKU!C:C,A354))</f>
        <v>#VALUE!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 t="e">
        <f>IF(A355="","",COUNTIF([1]SKU!C:C,A355))</f>
        <v>#VALUE!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 t="e">
        <f>IF(A357="","",COUNTIF([1]SKU!C:C,A357))</f>
        <v>#VALUE!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 t="e">
        <f>IF(A358="","",COUNTIF([1]SKU!C:C,A358))</f>
        <v>#VALUE!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 t="e">
        <f>IF(A359="","",COUNTIF([1]SKU!C:C,A359))</f>
        <v>#VALUE!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 t="e">
        <f>IF(A360="","",COUNTIF([1]SKU!C:C,A360))</f>
        <v>#VALUE!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 t="e">
        <f>IF(A361="","",COUNTIF([1]SKU!C:C,A361))</f>
        <v>#VALUE!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 t="e">
        <f>IF(A363="","",COUNTIF([1]SKU!C:C,A363))</f>
        <v>#VALUE!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 t="e">
        <f>IF(A364="","",COUNTIF([1]SKU!C:C,A364))</f>
        <v>#VALUE!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 t="e">
        <f>IF(A365="","",COUNTIF([1]SKU!C:C,A365))</f>
        <v>#VALUE!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 t="e">
        <f>IF(A366="","",COUNTIF([1]SKU!C:C,A366))</f>
        <v>#VALUE!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 t="e">
        <f>IF(A367="","",COUNTIF([1]SKU!C:C,A367))</f>
        <v>#VALUE!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 t="e">
        <f>IF(A368="","",COUNTIF([1]SKU!C:C,A368))</f>
        <v>#VALUE!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 t="e">
        <f>IF(A369="","",COUNTIF([1]SKU!C:C,A369))</f>
        <v>#VALUE!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 t="e">
        <f>IF(A370="","",COUNTIF([1]SKU!C:C,A370))</f>
        <v>#VALUE!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 t="e">
        <f>IF(A371="","",COUNTIF([1]SKU!C:C,A371))</f>
        <v>#VALUE!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 t="e">
        <f>IF(A372="","",COUNTIF([1]SKU!C:C,A372))</f>
        <v>#VALUE!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 t="e">
        <f>IF(A373="","",COUNTIF([1]SKU!C:C,A373))</f>
        <v>#VALUE!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 t="e">
        <f>IF(A374="","",COUNTIF([1]SKU!C:C,A374))</f>
        <v>#VALUE!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 t="e">
        <f>IF(A375="","",COUNTIF([1]SKU!C:C,A375))</f>
        <v>#VALUE!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 t="e">
        <f>IF(A377="","",COUNTIF([1]SKU!C:C,A377))</f>
        <v>#VALUE!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 t="e">
        <f>IF(A378="","",COUNTIF([1]SKU!C:C,A378))</f>
        <v>#VALUE!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 t="e">
        <f>IF(A379="","",COUNTIF([1]SKU!C:C,A379))</f>
        <v>#VALUE!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 t="e">
        <f>IF(A380="","",COUNTIF([1]SKU!C:C,A380))</f>
        <v>#VALUE!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 t="e">
        <f>IF(A381="","",COUNTIF([1]SKU!C:C,A381))</f>
        <v>#VALUE!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 t="e">
        <f>IF(A382="","",COUNTIF([1]SKU!C:C,A382))</f>
        <v>#VALUE!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 t="e">
        <f>IF(A383="","",COUNTIF([1]SKU!C:C,A383))</f>
        <v>#VALUE!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 t="e">
        <f>IF(A384="","",COUNTIF([1]SKU!C:C,A384))</f>
        <v>#VALUE!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 t="e">
        <f>IF(A385="","",COUNTIF([1]SKU!C:C,A385))</f>
        <v>#VALUE!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 t="e">
        <f>IF(A386="","",COUNTIF([1]SKU!C:C,A386))</f>
        <v>#VALUE!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 t="e">
        <f>IF(A387="","",COUNTIF([1]SKU!C:C,A387))</f>
        <v>#VALUE!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 t="e">
        <f>IF(A388="","",COUNTIF([1]SKU!C:C,A388))</f>
        <v>#VALUE!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 t="e">
        <f>IF(A389="","",COUNTIF([1]SKU!C:C,A389))</f>
        <v>#VALUE!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 t="e">
        <f>IF(A390="","",COUNTIF([1]SKU!C:C,A390))</f>
        <v>#VALUE!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 t="e">
        <f>IF(A391="","",COUNTIF([1]SKU!C:C,A391))</f>
        <v>#VALUE!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 t="e">
        <f>IF(A392="","",COUNTIF([1]SKU!C:C,A392))</f>
        <v>#VALUE!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 t="e">
        <f>IF(A393="","",COUNTIF([1]SKU!C:C,A393))</f>
        <v>#VALUE!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 t="e">
        <f>IF(A394="","",COUNTIF([1]SKU!C:C,A394))</f>
        <v>#VALUE!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 t="e">
        <f>IF(A395="","",COUNTIF([1]SKU!C:C,A395))</f>
        <v>#VALUE!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 t="e">
        <f>IF(A396="","",COUNTIF([1]SKU!C:C,A396))</f>
        <v>#VALUE!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 t="e">
        <f>IF(A397="","",COUNTIF([1]SKU!C:C,A397))</f>
        <v>#VALUE!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 t="e">
        <f>IF(A400="","",COUNTIF([1]SKU!C:C,A400))</f>
        <v>#VALUE!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 t="e">
        <f>IF(A402="","",COUNTIF([1]SKU!C:C,A402))</f>
        <v>#VALUE!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 t="e">
        <f>IF(A403="","",COUNTIF([1]SKU!C:C,A403))</f>
        <v>#VALUE!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 t="e">
        <f>IF(A404="","",COUNTIF([1]SKU!C:C,A404))</f>
        <v>#VALUE!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 t="e">
        <f>IF(A405="","",COUNTIF([1]SKU!C:C,A405))</f>
        <v>#VALUE!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 t="e">
        <f>IF(A406="","",COUNTIF([1]SKU!C:C,A406))</f>
        <v>#VALUE!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 t="e">
        <f>IF(A407="","",COUNTIF([1]SKU!C:C,A407))</f>
        <v>#VALUE!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 t="e">
        <f>IF(A408="","",COUNTIF([1]SKU!C:C,A408))</f>
        <v>#VALUE!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 t="e">
        <f>IF(A409="","",COUNTIF([1]SKU!C:C,A409))</f>
        <v>#VALUE!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 t="e">
        <f>IF(A410="","",COUNTIF([1]SKU!C:C,A410))</f>
        <v>#VALUE!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 t="e">
        <f>IF(A411="","",COUNTIF([1]SKU!C:C,A411))</f>
        <v>#VALUE!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 t="e">
        <f>IF(A412="","",COUNTIF([1]SKU!C:C,A412))</f>
        <v>#VALUE!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 t="e">
        <f>IF(A413="","",COUNTIF([1]SKU!C:C,A413))</f>
        <v>#VALUE!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 t="e">
        <f>IF(A414="","",COUNTIF([1]SKU!C:C,A414))</f>
        <v>#VALUE!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 t="e">
        <f>IF(A415="","",COUNTIF([1]SKU!C:C,A415))</f>
        <v>#VALUE!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 t="e">
        <f>IF(A416="","",COUNTIF([1]SKU!C:C,A416))</f>
        <v>#VALUE!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 t="e">
        <f>IF(A418="","",COUNTIF([1]SKU!C:C,A418))</f>
        <v>#VALUE!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 t="e">
        <f>IF(A419="","",COUNTIF([1]SKU!C:C,A419))</f>
        <v>#VALUE!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 t="e">
        <f>IF(A420="","",COUNTIF([1]SKU!C:C,A420))</f>
        <v>#VALUE!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 t="e">
        <f>IF(A421="","",COUNTIF([1]SKU!C:C,A421))</f>
        <v>#VALUE!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 t="e">
        <f>IF(A422="","",COUNTIF([1]SKU!C:C,A422))</f>
        <v>#VALUE!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 t="e">
        <f>IF(A424="","",COUNTIF([1]SKU!C:C,A424))</f>
        <v>#VALUE!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 t="e">
        <f>IF(A425="","",COUNTIF([1]SKU!C:C,A425))</f>
        <v>#VALUE!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 t="e">
        <f>IF(A426="","",COUNTIF([1]SKU!C:C,A426))</f>
        <v>#VALUE!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 t="e">
        <f>IF(A427="","",COUNTIF([1]SKU!C:C,A427))</f>
        <v>#VALUE!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 t="e">
        <f>IF(A428="","",COUNTIF([1]SKU!C:C,A428))</f>
        <v>#VALUE!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 t="e">
        <f>IF(A429="","",COUNTIF([1]SKU!C:C,A429))</f>
        <v>#VALUE!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 t="e">
        <f>IF(A430="","",COUNTIF([1]SKU!C:C,A430))</f>
        <v>#VALUE!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 t="e">
        <f>IF(A431="","",COUNTIF([1]SKU!C:C,A431))</f>
        <v>#VALUE!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 t="e">
        <f>IF(A432="","",COUNTIF([1]SKU!C:C,A432))</f>
        <v>#VALUE!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 t="e">
        <f>IF(A433="","",COUNTIF([1]SKU!C:C,A433))</f>
        <v>#VALUE!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 t="e">
        <f>IF(A434="","",COUNTIF([1]SKU!C:C,A434))</f>
        <v>#VALUE!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 t="e">
        <f>IF(A435="","",COUNTIF([1]SKU!C:C,A435))</f>
        <v>#VALUE!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 t="e">
        <f>IF(A436="","",COUNTIF([1]SKU!C:C,A436))</f>
        <v>#VALUE!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 t="e">
        <f>IF(A437="","",COUNTIF([1]SKU!C:C,A437))</f>
        <v>#VALUE!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 t="e">
        <f>IF(A438="","",COUNTIF([1]SKU!C:C,A438))</f>
        <v>#VALUE!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 t="e">
        <f>IF(A439="","",COUNTIF([1]SKU!C:C,A439))</f>
        <v>#VALUE!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 t="e">
        <f>IF(A440="","",COUNTIF([1]SKU!C:C,A440))</f>
        <v>#VALUE!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 t="e">
        <f>IF(A441="","",COUNTIF([1]SKU!C:C,A441))</f>
        <v>#VALUE!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 t="e">
        <f>IF(A443="","",COUNTIF([1]SKU!C:C,A443))</f>
        <v>#VALUE!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 t="e">
        <f>IF(A444="","",COUNTIF([1]SKU!C:C,A444))</f>
        <v>#VALUE!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 t="e">
        <f>IF(A445="","",COUNTIF([1]SKU!C:C,A445))</f>
        <v>#VALUE!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 t="e">
        <f>IF(A446="","",COUNTIF([1]SKU!C:C,A446))</f>
        <v>#VALUE!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 t="e">
        <f>IF(A447="","",COUNTIF([1]SKU!C:C,A447))</f>
        <v>#VALUE!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 t="e">
        <f>IF(A448="","",COUNTIF([1]SKU!C:C,A448))</f>
        <v>#VALUE!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 t="e">
        <f>IF(A450="","",COUNTIF([1]SKU!C:C,A450))</f>
        <v>#VALUE!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 t="e">
        <f>IF(A451="","",COUNTIF([1]SKU!C:C,A451))</f>
        <v>#VALUE!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 t="e">
        <f>IF(A453="","",COUNTIF([1]SKU!C:C,A453))</f>
        <v>#VALUE!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 t="e">
        <f>IF(A454="","",COUNTIF([1]SKU!C:C,A454))</f>
        <v>#VALUE!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 t="e">
        <f>IF(A455="","",COUNTIF([1]SKU!C:C,A455))</f>
        <v>#VALUE!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 t="e">
        <f>IF(A456="","",COUNTIF([1]SKU!C:C,A456))</f>
        <v>#VALUE!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 t="e">
        <f>IF(A457="","",COUNTIF([1]SKU!C:C,A457))</f>
        <v>#VALUE!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 t="e">
        <f>IF(A458="","",COUNTIF([1]SKU!C:C,A458))</f>
        <v>#VALUE!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 t="e">
        <f>IF(A459="","",COUNTIF([1]SKU!C:C,A459))</f>
        <v>#VALUE!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 t="e">
        <f>IF(A460="","",COUNTIF([1]SKU!C:C,A460))</f>
        <v>#VALUE!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 t="e">
        <f>IF(A462="","",COUNTIF([1]SKU!C:C,A462))</f>
        <v>#VALUE!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 t="e">
        <f>IF(A463="","",COUNTIF([1]SKU!C:C,A463))</f>
        <v>#VALUE!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 t="e">
        <f>IF(A464="","",COUNTIF([1]SKU!C:C,A464))</f>
        <v>#VALUE!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 t="e">
        <f>IF(A465="","",COUNTIF([1]SKU!C:C,A465))</f>
        <v>#VALUE!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 t="e">
        <f>IF(A466="","",COUNTIF([1]SKU!C:C,A466))</f>
        <v>#VALUE!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 t="e">
        <f>IF(A478="","",COUNTIF([1]SKU!C:C,A478))</f>
        <v>#VALUE!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 t="e">
        <f>IF(A480="","",COUNTIF([1]SKU!C:C,A480))</f>
        <v>#VALUE!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 t="e">
        <f>IF(A481="","",COUNTIF([1]SKU!C:C,A481))</f>
        <v>#VALUE!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 t="e">
        <f>IF(A482="","",COUNTIF([1]SKU!C:C,A482))</f>
        <v>#VALUE!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 t="e">
        <f>IF(A486="","",COUNTIF([1]SKU!C:C,A486))</f>
        <v>#VALUE!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 t="e">
        <f>IF(A487="","",COUNTIF([1]SKU!C:C,A487))</f>
        <v>#VALUE!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 t="e">
        <f>IF(A492="","",COUNTIF([1]SKU!C:C,A492))</f>
        <v>#VALUE!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 t="e">
        <f>IF(A493="","",COUNTIF([1]SKU!C:C,A493))</f>
        <v>#VALUE!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 t="e">
        <f>IF(A494="","",COUNTIF([1]SKU!C:C,A494))</f>
        <v>#VALUE!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 t="e">
        <f>IF(A495="","",COUNTIF([1]SKU!C:C,A495))</f>
        <v>#VALUE!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 t="e">
        <f>IF(A496="","",COUNTIF([1]SKU!C:C,A496))</f>
        <v>#VALUE!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 t="e">
        <f>IF(A497="","",COUNTIF([1]SKU!C:C,A497))</f>
        <v>#VALUE!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 t="e">
        <f>IF(A512="","",COUNTIF([1]SKU!C:C,A512))</f>
        <v>#VALUE!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 t="e">
        <f>IF(A520="","",COUNTIF([1]SKU!C:C,A520))</f>
        <v>#VALUE!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 t="e">
        <f>IF(A521="","",COUNTIF([1]SKU!C:C,A521))</f>
        <v>#VALUE!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 t="e">
        <f>IF(A522="","",COUNTIF([1]SKU!C:C,A522))</f>
        <v>#VALUE!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 t="e">
        <f>IF(A523="","",COUNTIF([1]SKU!C:C,A523))</f>
        <v>#VALUE!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 t="e">
        <f>IF(A524="","",COUNTIF([1]SKU!C:C,A524))</f>
        <v>#VALUE!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 t="e">
        <f>IF(A525="","",COUNTIF([1]SKU!C:C,A525))</f>
        <v>#VALUE!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 t="e">
        <f>IF(A526="","",COUNTIF([1]SKU!C:C,A526))</f>
        <v>#VALUE!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 t="e">
        <f>IF(A527="","",COUNTIF([1]SKU!C:C,A527))</f>
        <v>#VALUE!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 t="e">
        <f>IF(A528="","",COUNTIF([1]SKU!C:C,A528))</f>
        <v>#VALUE!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 t="e">
        <f>IF(A529="","",COUNTIF([1]SKU!C:C,A529))</f>
        <v>#VALUE!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 t="e">
        <f>IF(A530="","",COUNTIF([1]SKU!C:C,A530))</f>
        <v>#VALUE!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 t="e">
        <f>IF(A531="","",COUNTIF([1]SKU!C:C,A531))</f>
        <v>#VALUE!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 t="e">
        <f>IF(A533="","",COUNTIF([1]SKU!C:C,A533))</f>
        <v>#VALUE!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 t="e">
        <f>IF(A534="","",COUNTIF([1]SKU!C:C,A534))</f>
        <v>#VALUE!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 t="e">
        <f>IF(A535="","",COUNTIF([1]SKU!C:C,A535))</f>
        <v>#VALUE!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 t="e">
        <f>IF(A537="","",COUNTIF([1]SKU!C:C,A537))</f>
        <v>#VALUE!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 t="e">
        <f>IF(A538="","",COUNTIF([1]SKU!C:C,A538))</f>
        <v>#VALUE!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 t="e">
        <f>IF(A539="","",COUNTIF([1]SKU!C:C,A539))</f>
        <v>#VALUE!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 t="e">
        <f>IF(A542="","",COUNTIF([1]SKU!C:C,A542))</f>
        <v>#VALUE!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 t="e">
        <f>IF(A543="","",COUNTIF([1]SKU!C:C,A543))</f>
        <v>#VALUE!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 t="e">
        <f>IF(A544="","",COUNTIF([1]SKU!C:C,A544))</f>
        <v>#VALUE!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 t="e">
        <f>IF(A546="","",COUNTIF([1]SKU!C:C,A546))</f>
        <v>#VALUE!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 t="e">
        <f>IF(A549="","",COUNTIF([1]SKU!C:C,A549))</f>
        <v>#VALUE!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 t="e">
        <f>IF(A550="","",COUNTIF([1]SKU!C:C,A550))</f>
        <v>#VALUE!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 t="e">
        <f>IF(A551="","",COUNTIF([1]SKU!C:C,A551))</f>
        <v>#VALUE!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 t="e">
        <f>IF(A552="","",COUNTIF([1]SKU!C:C,A552))</f>
        <v>#VALUE!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 t="e">
        <f>IF(A553="","",COUNTIF([1]SKU!C:C,A553))</f>
        <v>#VALUE!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 t="e">
        <f>IF(A554="","",COUNTIF([1]SKU!C:C,A554))</f>
        <v>#VALUE!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 t="e">
        <f>IF(A557="","",COUNTIF([1]SKU!C:C,A557))</f>
        <v>#VALUE!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 t="e">
        <f>IF(A558="","",COUNTIF([1]SKU!C:C,A558))</f>
        <v>#VALUE!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 t="e">
        <f>IF(A559="","",COUNTIF([1]SKU!C:C,A559))</f>
        <v>#VALUE!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 t="e">
        <f>IF(A560="","",COUNTIF([1]SKU!C:C,A560))</f>
        <v>#VALUE!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 t="e">
        <f>IF(A561="","",COUNTIF([1]SKU!C:C,A561))</f>
        <v>#VALUE!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 t="e">
        <f>IF(A562="","",COUNTIF([1]SKU!C:C,A562))</f>
        <v>#VALUE!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 t="e">
        <f>IF(A563="","",COUNTIF([1]SKU!C:C,A563))</f>
        <v>#VALUE!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 t="e">
        <f>IF(A564="","",COUNTIF([1]SKU!C:C,A564))</f>
        <v>#VALUE!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 t="e">
        <f>IF(A565="","",COUNTIF([1]SKU!C:C,A565))</f>
        <v>#VALUE!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 t="e">
        <f>IF(A566="","",COUNTIF([1]SKU!C:C,A566))</f>
        <v>#VALUE!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 t="e">
        <f>IF(A567="","",COUNTIF([1]SKU!C:C,A567))</f>
        <v>#VALUE!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 t="e">
        <f>IF(A568="","",COUNTIF([1]SKU!C:C,A568))</f>
        <v>#VALUE!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 t="e">
        <f>IF(A569="","",COUNTIF([1]SKU!C:C,A569))</f>
        <v>#VALUE!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 t="e">
        <f>IF(A570="","",COUNTIF([1]SKU!C:C,A570))</f>
        <v>#VALUE!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 t="e">
        <f>IF(A571="","",COUNTIF([1]SKU!C:C,A571))</f>
        <v>#VALUE!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 t="e">
        <f>IF(A572="","",COUNTIF([1]SKU!C:C,A572))</f>
        <v>#VALUE!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 t="e">
        <f>IF(A573="","",COUNTIF([1]SKU!C:C,A573))</f>
        <v>#VALUE!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 t="e">
        <f>IF(A574="","",COUNTIF([1]SKU!C:C,A574))</f>
        <v>#VALUE!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 t="e">
        <f>IF(A575="","",COUNTIF([1]SKU!C:C,A575))</f>
        <v>#VALUE!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 t="e">
        <f>IF(A576="","",COUNTIF([1]SKU!C:C,A576))</f>
        <v>#VALUE!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 t="e">
        <f>IF(A577="","",COUNTIF([1]SKU!C:C,A577))</f>
        <v>#VALUE!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 t="e">
        <f>IF(A578="","",COUNTIF([1]SKU!C:C,A578))</f>
        <v>#VALUE!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 t="e">
        <f>IF(A579="","",COUNTIF([1]SKU!C:C,A579))</f>
        <v>#VALUE!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 t="e">
        <f>IF(A580="","",COUNTIF([1]SKU!C:C,A580))</f>
        <v>#VALUE!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 t="e">
        <f>IF(A583="","",COUNTIF([1]SKU!C:C,A583))</f>
        <v>#VALUE!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 t="e">
        <f>IF(A584="","",COUNTIF([1]SKU!C:C,A584))</f>
        <v>#VALUE!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 t="e">
        <f>IF(A585="","",COUNTIF([1]SKU!C:C,A585))</f>
        <v>#VALUE!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 t="e">
        <f>IF(A586="","",COUNTIF([1]SKU!C:C,A586))</f>
        <v>#VALUE!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 t="e">
        <f>IF(A587="","",COUNTIF([1]SKU!C:C,A587))</f>
        <v>#VALUE!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 t="e">
        <f>IF(A589="","",COUNTIF([1]SKU!C:C,A589))</f>
        <v>#VALUE!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 t="e">
        <f>IF(A590="","",COUNTIF([1]SKU!C:C,A590))</f>
        <v>#VALUE!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 t="e">
        <f>IF(A591="","",COUNTIF([1]SKU!C:C,A591))</f>
        <v>#VALUE!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 t="e">
        <f>IF(A592="","",COUNTIF([1]SKU!C:C,A592))</f>
        <v>#VALUE!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 t="e">
        <f>IF(A593="","",COUNTIF([1]SKU!C:C,A593))</f>
        <v>#VALUE!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 t="e">
        <f>IF(A594="","",COUNTIF([1]SKU!C:C,A594))</f>
        <v>#VALUE!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 t="e">
        <f>IF(A595="","",COUNTIF([1]SKU!C:C,A595))</f>
        <v>#VALUE!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 t="e">
        <f>IF(A596="","",COUNTIF([1]SKU!C:C,A596))</f>
        <v>#VALUE!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 t="e">
        <f>IF(A597="","",COUNTIF([1]SKU!C:C,A597))</f>
        <v>#VALUE!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 t="e">
        <f>IF(A598="","",COUNTIF([1]SKU!C:C,A598))</f>
        <v>#VALUE!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 t="e">
        <f>IF(A599="","",COUNTIF([1]SKU!C:C,A599))</f>
        <v>#VALUE!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 t="e">
        <f>IF(A600="","",COUNTIF([1]SKU!C:C,A600))</f>
        <v>#VALUE!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 t="e">
        <f>IF(A601="","",COUNTIF([1]SKU!C:C,A601))</f>
        <v>#VALUE!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 t="e">
        <f>IF(A602="","",COUNTIF([1]SKU!C:C,A602))</f>
        <v>#VALUE!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 t="e">
        <f>IF(A603="","",COUNTIF([1]SKU!C:C,A603))</f>
        <v>#VALUE!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 t="e">
        <f>IF(A605="","",COUNTIF([1]SKU!C:C,A605))</f>
        <v>#VALUE!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 t="e">
        <f>IF(A606="","",COUNTIF([1]SKU!C:C,A606))</f>
        <v>#VALUE!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 t="e">
        <f>IF(A607="","",COUNTIF([1]SKU!C:C,A607))</f>
        <v>#VALUE!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 t="e">
        <f>IF(A608="","",COUNTIF([1]SKU!C:C,A608))</f>
        <v>#VALUE!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 t="e">
        <f>IF(A609="","",COUNTIF([1]SKU!C:C,A609))</f>
        <v>#VALUE!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 t="e">
        <f>IF(A610="","",COUNTIF([1]SKU!C:C,A610))</f>
        <v>#VALUE!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 t="e">
        <f>IF(A611="","",COUNTIF([1]SKU!C:C,A611))</f>
        <v>#VALUE!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 t="e">
        <f>IF(A616="","",COUNTIF([1]SKU!C:C,A616))</f>
        <v>#VALUE!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 t="e">
        <f>IF(A617="","",COUNTIF([1]SKU!C:C,A617))</f>
        <v>#VALUE!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 t="e">
        <f>IF(A618="","",COUNTIF([1]SKU!C:C,A618))</f>
        <v>#VALUE!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 t="e">
        <f>IF(A619="","",COUNTIF([1]SKU!C:C,A619))</f>
        <v>#VALUE!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 t="e">
        <f>IF(A623="","",COUNTIF([1]SKU!C:C,A623))</f>
        <v>#VALUE!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 t="e">
        <f>IF(A624="","",COUNTIF([1]SKU!C:C,A624))</f>
        <v>#VALUE!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 t="e">
        <f>IF(A625="","",COUNTIF([1]SKU!C:C,A625))</f>
        <v>#VALUE!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 t="e">
        <f>IF(A626="","",COUNTIF([1]SKU!C:C,A626))</f>
        <v>#VALUE!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 t="e">
        <f>IF(A627="","",COUNTIF([1]SKU!C:C,A627))</f>
        <v>#VALUE!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 t="e">
        <f>IF(A628="","",COUNTIF([1]SKU!C:C,A628))</f>
        <v>#VALUE!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 t="e">
        <f>IF(A629="","",COUNTIF([1]SKU!C:C,A629))</f>
        <v>#VALUE!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 t="e">
        <f>IF(A630="","",COUNTIF([1]SKU!C:C,A630))</f>
        <v>#VALUE!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 t="e">
        <f>IF(A631="","",COUNTIF([1]SKU!C:C,A631))</f>
        <v>#VALUE!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 t="e">
        <f>IF(A632="","",COUNTIF([1]SKU!C:C,A632))</f>
        <v>#VALUE!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 t="e">
        <f>IF(A633="","",COUNTIF([1]SKU!C:C,A633))</f>
        <v>#VALUE!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 t="e">
        <f>IF(A634="","",COUNTIF([1]SKU!C:C,A634))</f>
        <v>#VALUE!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 t="e">
        <f>IF(A638="","",COUNTIF([1]SKU!C:C,A638))</f>
        <v>#VALUE!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 t="e">
        <f>IF(A639="","",COUNTIF([1]SKU!C:C,A639))</f>
        <v>#VALUE!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 t="e">
        <f>IF(A640="","",COUNTIF([1]SKU!C:C,A640))</f>
        <v>#VALUE!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 t="e">
        <f>IF(A641="","",COUNTIF([1]SKU!C:C,A641))</f>
        <v>#VALUE!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 t="e">
        <f>IF(A643="","",COUNTIF([1]SKU!C:C,A643))</f>
        <v>#VALUE!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 t="e">
        <f>IF(A644="","",COUNTIF([1]SKU!C:C,A644))</f>
        <v>#VALUE!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 t="e">
        <f>IF(A649="","",COUNTIF([1]SKU!C:C,A649))</f>
        <v>#VALUE!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 t="e">
        <f>IF(A650="","",COUNTIF([1]SKU!C:C,A650))</f>
        <v>#VALUE!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 t="e">
        <f>IF(A651="","",COUNTIF([1]SKU!C:C,A651))</f>
        <v>#VALUE!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 t="e">
        <f>IF(A652="","",COUNTIF([1]SKU!C:C,A652))</f>
        <v>#VALUE!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 t="e">
        <f>IF(A655="","",COUNTIF([1]SKU!C:C,A655))</f>
        <v>#VALUE!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 t="e">
        <f>IF(A658="","",COUNTIF([1]SKU!C:C,A658))</f>
        <v>#VALUE!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 t="e">
        <f>IF(A659="","",COUNTIF([1]SKU!C:C,A659))</f>
        <v>#VALUE!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 t="e">
        <f>IF(A660="","",COUNTIF([1]SKU!C:C,A660))</f>
        <v>#VALUE!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 t="e">
        <f>IF(A661="","",COUNTIF([1]SKU!C:C,A661))</f>
        <v>#VALUE!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 t="e">
        <f>IF(A662="","",COUNTIF([1]SKU!C:C,A662))</f>
        <v>#VALUE!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 t="e">
        <f>IF(A663="","",COUNTIF([1]SKU!C:C,A663))</f>
        <v>#VALUE!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 t="e">
        <f>IF(A664="","",COUNTIF([1]SKU!C:C,A664))</f>
        <v>#VALUE!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 t="e">
        <f>IF(A665="","",COUNTIF([1]SKU!C:C,A665))</f>
        <v>#VALUE!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 t="e">
        <f>IF(A666="","",COUNTIF([1]SKU!C:C,A666))</f>
        <v>#VALUE!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 t="e">
        <f>IF(A667="","",COUNTIF([1]SKU!C:C,A667))</f>
        <v>#VALUE!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 t="e">
        <f>IF(A671="","",COUNTIF([1]SKU!C:C,A671))</f>
        <v>#VALUE!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 t="e">
        <f>IF(A672="","",COUNTIF([1]SKU!C:C,A672))</f>
        <v>#VALUE!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 t="e">
        <f>IF(A673="","",COUNTIF([1]SKU!C:C,A673))</f>
        <v>#VALUE!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 t="e">
        <f>IF(A674="","",COUNTIF([1]SKU!C:C,A674))</f>
        <v>#VALUE!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 t="e">
        <f>IF(A675="","",COUNTIF([1]SKU!C:C,A675))</f>
        <v>#VALUE!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 t="e">
        <f>IF(A676="","",COUNTIF([1]SKU!C:C,A676))</f>
        <v>#VALUE!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 t="e">
        <f>IF(A677="","",COUNTIF([1]SKU!C:C,A677))</f>
        <v>#VALUE!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 t="e">
        <f>IF(A680="","",COUNTIF([1]SKU!C:C,A680))</f>
        <v>#VALUE!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 t="e">
        <f>IF(A681="","",COUNTIF([1]SKU!C:C,A681))</f>
        <v>#VALUE!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 t="e">
        <f>IF(A682="","",COUNTIF([1]SKU!C:C,A682))</f>
        <v>#VALUE!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 t="e">
        <f>IF(A683="","",COUNTIF([1]SKU!C:C,A683))</f>
        <v>#VALUE!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 t="e">
        <f>IF(A684="","",COUNTIF([1]SKU!C:C,A684))</f>
        <v>#VALUE!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  <row r="728" spans="1:8" ht="15.75" x14ac:dyDescent="0.25">
      <c r="A728" s="9">
        <v>70154</v>
      </c>
      <c r="B728" s="17" t="s">
        <v>8</v>
      </c>
      <c r="C728" s="18">
        <v>46312</v>
      </c>
      <c r="D728" s="12">
        <v>1</v>
      </c>
      <c r="E728" s="13" t="s">
        <v>9</v>
      </c>
      <c r="F728" s="19" t="s">
        <v>31</v>
      </c>
      <c r="G728" s="20" t="s">
        <v>14</v>
      </c>
      <c r="H728" s="16" t="s">
        <v>95</v>
      </c>
    </row>
    <row r="729" spans="1:8" ht="15.75" x14ac:dyDescent="0.25">
      <c r="A729" s="9">
        <v>69757</v>
      </c>
      <c r="B729" s="17" t="s">
        <v>8</v>
      </c>
      <c r="C729" s="18">
        <v>46312</v>
      </c>
      <c r="D729" s="12">
        <v>2</v>
      </c>
      <c r="E729" s="13" t="s">
        <v>9</v>
      </c>
      <c r="F729" s="19" t="s">
        <v>31</v>
      </c>
      <c r="G729" s="20" t="s">
        <v>14</v>
      </c>
      <c r="H729" s="16" t="s">
        <v>95</v>
      </c>
    </row>
    <row r="730" spans="1:8" ht="15.75" x14ac:dyDescent="0.25">
      <c r="A730" s="9">
        <v>69391</v>
      </c>
      <c r="B730" s="17" t="s">
        <v>8</v>
      </c>
      <c r="C730" s="18">
        <v>46312</v>
      </c>
      <c r="D730" s="12">
        <v>1</v>
      </c>
      <c r="E730" s="13" t="s">
        <v>9</v>
      </c>
      <c r="F730" s="19" t="s">
        <v>31</v>
      </c>
      <c r="G730" s="20" t="s">
        <v>14</v>
      </c>
      <c r="H730" s="16" t="s">
        <v>102</v>
      </c>
    </row>
    <row r="731" spans="1:8" ht="15.75" x14ac:dyDescent="0.25">
      <c r="A731" s="9">
        <v>69769</v>
      </c>
      <c r="B731" s="17" t="s">
        <v>8</v>
      </c>
      <c r="C731" s="18">
        <v>46312</v>
      </c>
      <c r="D731" s="12">
        <v>1</v>
      </c>
      <c r="E731" s="13" t="s">
        <v>9</v>
      </c>
      <c r="F731" s="19" t="s">
        <v>31</v>
      </c>
      <c r="G731" s="20" t="s">
        <v>14</v>
      </c>
      <c r="H731" s="16" t="s">
        <v>108</v>
      </c>
    </row>
    <row r="732" spans="1:8" ht="15.75" x14ac:dyDescent="0.25">
      <c r="A732" s="9">
        <v>68888</v>
      </c>
      <c r="B732" s="17" t="s">
        <v>8</v>
      </c>
      <c r="C732" s="18">
        <v>46312</v>
      </c>
      <c r="D732" s="12">
        <v>1</v>
      </c>
      <c r="E732" s="13" t="s">
        <v>9</v>
      </c>
      <c r="F732" s="19" t="s">
        <v>31</v>
      </c>
      <c r="G732" s="20" t="s">
        <v>14</v>
      </c>
      <c r="H732" s="16" t="s">
        <v>102</v>
      </c>
    </row>
    <row r="733" spans="1:8" ht="15.75" x14ac:dyDescent="0.25">
      <c r="A733" s="9">
        <v>69369</v>
      </c>
      <c r="B733" s="17" t="s">
        <v>8</v>
      </c>
      <c r="C733" s="18">
        <v>46312</v>
      </c>
      <c r="D733" s="12">
        <v>1</v>
      </c>
      <c r="E733" s="13" t="s">
        <v>9</v>
      </c>
      <c r="F733" s="19" t="s">
        <v>31</v>
      </c>
      <c r="G733" s="20" t="s">
        <v>14</v>
      </c>
      <c r="H733" s="16" t="s">
        <v>95</v>
      </c>
    </row>
    <row r="734" spans="1:8" ht="15.75" x14ac:dyDescent="0.25">
      <c r="A734" s="9">
        <v>69762</v>
      </c>
      <c r="B734" s="17" t="s">
        <v>43</v>
      </c>
      <c r="C734" s="18">
        <v>46314</v>
      </c>
      <c r="D734" s="12">
        <v>1</v>
      </c>
      <c r="E734" s="13" t="s">
        <v>9</v>
      </c>
      <c r="F734" s="19" t="s">
        <v>31</v>
      </c>
      <c r="G734" s="20" t="s">
        <v>14</v>
      </c>
      <c r="H734" s="16" t="s">
        <v>109</v>
      </c>
    </row>
    <row r="735" spans="1:8" ht="15.75" x14ac:dyDescent="0.25">
      <c r="A735" s="9">
        <v>69764</v>
      </c>
      <c r="B735" s="17" t="s">
        <v>43</v>
      </c>
      <c r="C735" s="18">
        <v>46314</v>
      </c>
      <c r="D735" s="12">
        <v>2</v>
      </c>
      <c r="E735" s="13" t="s">
        <v>9</v>
      </c>
      <c r="F735" s="19" t="s">
        <v>31</v>
      </c>
      <c r="G735" s="20" t="s">
        <v>14</v>
      </c>
      <c r="H735" s="16" t="s">
        <v>110</v>
      </c>
    </row>
    <row r="736" spans="1:8" ht="15.75" x14ac:dyDescent="0.25">
      <c r="A736" s="9">
        <v>69768</v>
      </c>
      <c r="B736" s="17" t="s">
        <v>43</v>
      </c>
      <c r="C736" s="18">
        <v>46314</v>
      </c>
      <c r="D736" s="12">
        <v>1</v>
      </c>
      <c r="E736" s="13" t="s">
        <v>9</v>
      </c>
      <c r="F736" s="19" t="s">
        <v>31</v>
      </c>
      <c r="G736" s="20" t="s">
        <v>14</v>
      </c>
      <c r="H736" s="16" t="s">
        <v>108</v>
      </c>
    </row>
    <row r="737" spans="1:8" ht="15.75" x14ac:dyDescent="0.25">
      <c r="A737" s="9">
        <v>70288</v>
      </c>
      <c r="B737" s="17" t="s">
        <v>69</v>
      </c>
      <c r="C737" s="18">
        <v>46314</v>
      </c>
      <c r="D737" s="12">
        <v>1</v>
      </c>
      <c r="E737" s="13" t="s">
        <v>9</v>
      </c>
      <c r="F737" s="19" t="s">
        <v>31</v>
      </c>
      <c r="G737" s="20" t="s">
        <v>14</v>
      </c>
      <c r="H737" s="16" t="s">
        <v>111</v>
      </c>
    </row>
    <row r="738" spans="1:8" ht="15.75" x14ac:dyDescent="0.25">
      <c r="A738" s="9">
        <v>69802</v>
      </c>
      <c r="B738" s="17" t="s">
        <v>69</v>
      </c>
      <c r="C738" s="18">
        <v>46314</v>
      </c>
      <c r="D738" s="12">
        <v>2</v>
      </c>
      <c r="E738" s="13" t="s">
        <v>9</v>
      </c>
      <c r="F738" s="19" t="s">
        <v>31</v>
      </c>
      <c r="G738" s="20" t="s">
        <v>14</v>
      </c>
      <c r="H738" s="16" t="s">
        <v>111</v>
      </c>
    </row>
    <row r="739" spans="1:8" ht="15.75" x14ac:dyDescent="0.25">
      <c r="A739" s="9">
        <v>70153</v>
      </c>
      <c r="B739" s="17" t="s">
        <v>69</v>
      </c>
      <c r="C739" s="18">
        <v>46314</v>
      </c>
      <c r="D739" s="12">
        <v>1</v>
      </c>
      <c r="E739" s="13" t="s">
        <v>9</v>
      </c>
      <c r="F739" s="19" t="s">
        <v>31</v>
      </c>
      <c r="G739" s="20" t="s">
        <v>14</v>
      </c>
      <c r="H739" s="16" t="s">
        <v>95</v>
      </c>
    </row>
    <row r="740" spans="1:8" ht="15.75" x14ac:dyDescent="0.25">
      <c r="A740" s="9">
        <v>70157</v>
      </c>
      <c r="B740" s="17" t="s">
        <v>44</v>
      </c>
      <c r="C740" s="18">
        <v>46314</v>
      </c>
      <c r="D740" s="12">
        <v>9</v>
      </c>
      <c r="E740" s="13" t="s">
        <v>9</v>
      </c>
      <c r="F740" s="19" t="s">
        <v>31</v>
      </c>
      <c r="G740" s="20" t="s">
        <v>14</v>
      </c>
      <c r="H740" s="16" t="s">
        <v>110</v>
      </c>
    </row>
    <row r="741" spans="1:8" ht="15.75" x14ac:dyDescent="0.25">
      <c r="A741" s="9">
        <v>70197</v>
      </c>
      <c r="B741" s="17" t="s">
        <v>42</v>
      </c>
      <c r="C741" s="18">
        <v>46314</v>
      </c>
      <c r="D741" s="12">
        <v>6</v>
      </c>
      <c r="E741" s="13" t="s">
        <v>9</v>
      </c>
      <c r="F741" s="19" t="s">
        <v>31</v>
      </c>
      <c r="G741" s="20" t="s">
        <v>14</v>
      </c>
      <c r="H741" s="16" t="s">
        <v>102</v>
      </c>
    </row>
    <row r="742" spans="1:8" ht="15.75" x14ac:dyDescent="0.25">
      <c r="A742" s="9">
        <v>70160</v>
      </c>
      <c r="B742" s="17" t="s">
        <v>42</v>
      </c>
      <c r="C742" s="18">
        <v>46314</v>
      </c>
      <c r="D742" s="12">
        <v>5</v>
      </c>
      <c r="E742" s="13" t="s">
        <v>9</v>
      </c>
      <c r="F742" s="19" t="s">
        <v>31</v>
      </c>
      <c r="G742" s="20" t="s">
        <v>14</v>
      </c>
      <c r="H742" s="16" t="s">
        <v>95</v>
      </c>
    </row>
    <row r="743" spans="1:8" ht="15.75" x14ac:dyDescent="0.25">
      <c r="A743" s="9">
        <v>69811</v>
      </c>
      <c r="B743" s="17" t="s">
        <v>73</v>
      </c>
      <c r="C743" s="18">
        <v>46314</v>
      </c>
      <c r="D743" s="12">
        <v>18</v>
      </c>
      <c r="E743" s="13" t="s">
        <v>9</v>
      </c>
      <c r="F743" s="19" t="s">
        <v>31</v>
      </c>
      <c r="G743" s="20" t="s">
        <v>14</v>
      </c>
      <c r="H743" s="16" t="s">
        <v>111</v>
      </c>
    </row>
    <row r="744" spans="1:8" ht="15.75" x14ac:dyDescent="0.25">
      <c r="A744" s="9">
        <v>69763</v>
      </c>
      <c r="B744" s="17" t="s">
        <v>16</v>
      </c>
      <c r="C744" s="18">
        <v>46314</v>
      </c>
      <c r="D744" s="12">
        <v>14</v>
      </c>
      <c r="E744" s="13" t="s">
        <v>9</v>
      </c>
      <c r="F744" s="19" t="s">
        <v>31</v>
      </c>
      <c r="G744" s="20" t="s">
        <v>14</v>
      </c>
      <c r="H744" s="16" t="s">
        <v>110</v>
      </c>
    </row>
    <row r="745" spans="1:8" ht="15.75" x14ac:dyDescent="0.25">
      <c r="A745" s="9">
        <v>70192</v>
      </c>
      <c r="B745" s="17" t="s">
        <v>17</v>
      </c>
      <c r="C745" s="18">
        <v>46314</v>
      </c>
      <c r="D745" s="12">
        <v>13</v>
      </c>
      <c r="E745" s="13" t="s">
        <v>9</v>
      </c>
      <c r="F745" s="19" t="s">
        <v>31</v>
      </c>
      <c r="G745" s="20" t="s">
        <v>14</v>
      </c>
      <c r="H745" s="16" t="s">
        <v>111</v>
      </c>
    </row>
    <row r="746" spans="1:8" ht="15.75" x14ac:dyDescent="0.25">
      <c r="A746" s="9">
        <v>69761</v>
      </c>
      <c r="B746" s="17" t="s">
        <v>17</v>
      </c>
      <c r="C746" s="18">
        <v>46314</v>
      </c>
      <c r="D746" s="12">
        <v>2</v>
      </c>
      <c r="E746" s="13" t="s">
        <v>9</v>
      </c>
      <c r="F746" s="19" t="s">
        <v>31</v>
      </c>
      <c r="G746" s="20" t="s">
        <v>14</v>
      </c>
      <c r="H746" s="16" t="s">
        <v>109</v>
      </c>
    </row>
    <row r="747" spans="1:8" ht="15.75" x14ac:dyDescent="0.25">
      <c r="A747" s="9">
        <v>69814</v>
      </c>
      <c r="B747" s="17" t="s">
        <v>72</v>
      </c>
      <c r="C747" s="18">
        <v>46314</v>
      </c>
      <c r="D747" s="12">
        <v>1</v>
      </c>
      <c r="E747" s="13" t="s">
        <v>9</v>
      </c>
      <c r="F747" s="19" t="s">
        <v>31</v>
      </c>
      <c r="G747" s="20" t="s">
        <v>14</v>
      </c>
      <c r="H747" s="16" t="s">
        <v>111</v>
      </c>
    </row>
    <row r="748" spans="1:8" ht="15.75" x14ac:dyDescent="0.25">
      <c r="A748" s="9">
        <v>67106</v>
      </c>
      <c r="B748" s="17" t="s">
        <v>72</v>
      </c>
      <c r="C748" s="18">
        <v>46314</v>
      </c>
      <c r="D748" s="12">
        <v>24</v>
      </c>
      <c r="E748" s="13" t="s">
        <v>35</v>
      </c>
      <c r="F748" s="19" t="s">
        <v>31</v>
      </c>
      <c r="G748" s="21" t="s">
        <v>11</v>
      </c>
      <c r="H748" s="16" t="s">
        <v>84</v>
      </c>
    </row>
    <row r="749" spans="1:8" ht="15.75" x14ac:dyDescent="0.25">
      <c r="A749" s="9">
        <v>69852</v>
      </c>
      <c r="B749" s="17" t="s">
        <v>43</v>
      </c>
      <c r="C749" s="18">
        <v>46314</v>
      </c>
      <c r="D749" s="12">
        <v>3</v>
      </c>
      <c r="E749" s="13" t="s">
        <v>35</v>
      </c>
      <c r="F749" s="26" t="s">
        <v>55</v>
      </c>
      <c r="G749" s="21" t="s">
        <v>11</v>
      </c>
      <c r="H749" s="16" t="s">
        <v>112</v>
      </c>
    </row>
    <row r="750" spans="1:8" ht="15.75" x14ac:dyDescent="0.25">
      <c r="A750" s="9">
        <v>69839</v>
      </c>
      <c r="B750" s="17" t="s">
        <v>8</v>
      </c>
      <c r="C750" s="18">
        <v>46314</v>
      </c>
      <c r="D750" s="12">
        <v>3</v>
      </c>
      <c r="E750" s="13" t="s">
        <v>29</v>
      </c>
      <c r="F750" s="19" t="s">
        <v>31</v>
      </c>
      <c r="G750" s="21" t="s">
        <v>11</v>
      </c>
      <c r="H750" s="16" t="s">
        <v>113</v>
      </c>
    </row>
    <row r="751" spans="1:8" ht="15.75" x14ac:dyDescent="0.25">
      <c r="A751" s="9">
        <v>70078</v>
      </c>
      <c r="B751" s="17" t="s">
        <v>8</v>
      </c>
      <c r="C751" s="18">
        <v>46314</v>
      </c>
      <c r="D751" s="12">
        <v>1</v>
      </c>
      <c r="E751" s="13" t="s">
        <v>29</v>
      </c>
      <c r="F751" s="19" t="s">
        <v>31</v>
      </c>
      <c r="G751" s="21" t="s">
        <v>11</v>
      </c>
      <c r="H751" s="16" t="s">
        <v>114</v>
      </c>
    </row>
    <row r="752" spans="1:8" ht="15.75" x14ac:dyDescent="0.25">
      <c r="A752" s="9">
        <v>70144</v>
      </c>
      <c r="B752" s="17" t="s">
        <v>43</v>
      </c>
      <c r="C752" s="18">
        <v>46314</v>
      </c>
      <c r="D752" s="12">
        <v>5</v>
      </c>
      <c r="E752" s="13" t="s">
        <v>29</v>
      </c>
      <c r="F752" s="19" t="s">
        <v>31</v>
      </c>
      <c r="G752" s="20" t="s">
        <v>14</v>
      </c>
      <c r="H752" s="16" t="s">
        <v>82</v>
      </c>
    </row>
    <row r="753" spans="1:8" ht="15.75" x14ac:dyDescent="0.25">
      <c r="A753" s="9">
        <v>70152</v>
      </c>
      <c r="B753" s="17" t="s">
        <v>21</v>
      </c>
      <c r="C753" s="18">
        <v>46314</v>
      </c>
      <c r="D753" s="12">
        <v>3</v>
      </c>
      <c r="E753" s="13" t="s">
        <v>9</v>
      </c>
      <c r="F753" s="19" t="s">
        <v>31</v>
      </c>
      <c r="G753" s="21" t="s">
        <v>11</v>
      </c>
      <c r="H753" s="16" t="s">
        <v>115</v>
      </c>
    </row>
    <row r="754" spans="1:8" ht="15.75" x14ac:dyDescent="0.25">
      <c r="A754" s="9">
        <v>70158</v>
      </c>
      <c r="B754" s="17" t="s">
        <v>21</v>
      </c>
      <c r="C754" s="18">
        <v>46314</v>
      </c>
      <c r="D754" s="12">
        <v>5</v>
      </c>
      <c r="E754" s="13" t="s">
        <v>9</v>
      </c>
      <c r="F754" s="19" t="s">
        <v>31</v>
      </c>
      <c r="G754" s="21" t="s">
        <v>11</v>
      </c>
      <c r="H754" s="16" t="s">
        <v>116</v>
      </c>
    </row>
    <row r="755" spans="1:8" ht="15.75" x14ac:dyDescent="0.25">
      <c r="A755" s="9">
        <v>70203</v>
      </c>
      <c r="B755" s="17" t="s">
        <v>16</v>
      </c>
      <c r="C755" s="18">
        <v>46314</v>
      </c>
      <c r="D755" s="12">
        <v>1</v>
      </c>
      <c r="E755" s="13" t="s">
        <v>9</v>
      </c>
      <c r="F755" s="19" t="s">
        <v>31</v>
      </c>
      <c r="G755" s="21" t="s">
        <v>11</v>
      </c>
      <c r="H755" s="16" t="s">
        <v>82</v>
      </c>
    </row>
    <row r="756" spans="1:8" ht="15.75" x14ac:dyDescent="0.25">
      <c r="A756" s="9">
        <v>70236</v>
      </c>
      <c r="B756" s="17" t="s">
        <v>16</v>
      </c>
      <c r="C756" s="18">
        <v>46314</v>
      </c>
      <c r="D756" s="12">
        <v>2</v>
      </c>
      <c r="E756" s="13" t="s">
        <v>9</v>
      </c>
      <c r="F756" s="19" t="s">
        <v>31</v>
      </c>
      <c r="G756" s="21" t="s">
        <v>11</v>
      </c>
      <c r="H756" s="16"/>
    </row>
    <row r="757" spans="1:8" ht="15.75" x14ac:dyDescent="0.25">
      <c r="A757" s="9">
        <v>70235</v>
      </c>
      <c r="B757" s="17" t="s">
        <v>16</v>
      </c>
      <c r="C757" s="18">
        <v>46314</v>
      </c>
      <c r="D757" s="12">
        <v>3</v>
      </c>
      <c r="E757" s="13" t="s">
        <v>9</v>
      </c>
      <c r="F757" s="19" t="s">
        <v>31</v>
      </c>
      <c r="G757" s="21" t="s">
        <v>11</v>
      </c>
      <c r="H757" s="16"/>
    </row>
    <row r="758" spans="1:8" ht="15.75" x14ac:dyDescent="0.25">
      <c r="A758" s="9">
        <v>70072</v>
      </c>
      <c r="B758" s="17" t="s">
        <v>42</v>
      </c>
      <c r="C758" s="18">
        <v>46314</v>
      </c>
      <c r="D758" s="12">
        <v>1</v>
      </c>
      <c r="E758" s="13" t="s">
        <v>9</v>
      </c>
      <c r="F758" s="19" t="s">
        <v>31</v>
      </c>
      <c r="G758" s="21" t="s">
        <v>11</v>
      </c>
      <c r="H758" s="16" t="s">
        <v>83</v>
      </c>
    </row>
    <row r="759" spans="1:8" ht="15.75" x14ac:dyDescent="0.25">
      <c r="A759" s="9">
        <v>70071</v>
      </c>
      <c r="B759" s="17" t="s">
        <v>42</v>
      </c>
      <c r="C759" s="18">
        <v>46314</v>
      </c>
      <c r="D759" s="12">
        <v>1</v>
      </c>
      <c r="E759" s="13" t="s">
        <v>9</v>
      </c>
      <c r="F759" s="19" t="s">
        <v>31</v>
      </c>
      <c r="G759" s="21" t="s">
        <v>11</v>
      </c>
      <c r="H759" s="16"/>
    </row>
    <row r="760" spans="1:8" ht="15.75" x14ac:dyDescent="0.25">
      <c r="A760" s="9">
        <v>70321</v>
      </c>
      <c r="B760" s="17" t="s">
        <v>42</v>
      </c>
      <c r="C760" s="18">
        <v>46314</v>
      </c>
      <c r="D760" s="12">
        <v>1</v>
      </c>
      <c r="E760" s="13" t="s">
        <v>9</v>
      </c>
      <c r="F760" s="19" t="s">
        <v>31</v>
      </c>
      <c r="G760" s="21" t="s">
        <v>11</v>
      </c>
      <c r="H760" s="16"/>
    </row>
    <row r="761" spans="1:8" ht="15.75" x14ac:dyDescent="0.25">
      <c r="A761" s="9">
        <v>70181</v>
      </c>
      <c r="B761" s="17" t="s">
        <v>8</v>
      </c>
      <c r="C761" s="18">
        <v>46314</v>
      </c>
      <c r="D761" s="12">
        <v>1</v>
      </c>
      <c r="E761" s="13" t="s">
        <v>9</v>
      </c>
      <c r="F761" s="19" t="s">
        <v>31</v>
      </c>
      <c r="G761" s="21" t="s">
        <v>11</v>
      </c>
      <c r="H761" s="16" t="s">
        <v>117</v>
      </c>
    </row>
    <row r="762" spans="1:8" ht="15.75" x14ac:dyDescent="0.25">
      <c r="A762" s="9">
        <v>67899</v>
      </c>
      <c r="B762" s="17" t="s">
        <v>34</v>
      </c>
      <c r="C762" s="18">
        <v>46314</v>
      </c>
      <c r="D762" s="12">
        <v>1</v>
      </c>
      <c r="E762" s="13" t="s">
        <v>32</v>
      </c>
      <c r="F762" s="19" t="s">
        <v>31</v>
      </c>
      <c r="G762" s="20" t="s">
        <v>14</v>
      </c>
      <c r="H762" s="16"/>
    </row>
    <row r="763" spans="1:8" ht="15.75" x14ac:dyDescent="0.25">
      <c r="A763" s="9">
        <v>70319</v>
      </c>
      <c r="B763" s="17" t="s">
        <v>69</v>
      </c>
      <c r="C763" s="18">
        <v>46314</v>
      </c>
      <c r="D763" s="12">
        <v>2</v>
      </c>
      <c r="E763" s="13" t="s">
        <v>9</v>
      </c>
      <c r="F763" s="19" t="s">
        <v>31</v>
      </c>
      <c r="G763" s="20" t="s">
        <v>14</v>
      </c>
      <c r="H763" s="16" t="s">
        <v>118</v>
      </c>
    </row>
    <row r="764" spans="1:8" ht="15.75" x14ac:dyDescent="0.25">
      <c r="A764" s="9">
        <v>69095</v>
      </c>
      <c r="B764" s="17" t="s">
        <v>42</v>
      </c>
      <c r="C764" s="18">
        <v>46314</v>
      </c>
      <c r="D764" s="12">
        <v>1</v>
      </c>
      <c r="E764" s="13" t="s">
        <v>9</v>
      </c>
      <c r="F764" s="19" t="s">
        <v>31</v>
      </c>
      <c r="G764" s="21" t="s">
        <v>11</v>
      </c>
      <c r="H764" s="16"/>
    </row>
    <row r="765" spans="1:8" ht="15.75" x14ac:dyDescent="0.25">
      <c r="A765" s="9">
        <v>66746</v>
      </c>
      <c r="B765" s="17" t="s">
        <v>42</v>
      </c>
      <c r="C765" s="18">
        <v>46314</v>
      </c>
      <c r="D765" s="12">
        <v>5</v>
      </c>
      <c r="E765" s="13" t="s">
        <v>9</v>
      </c>
      <c r="F765" s="19" t="s">
        <v>31</v>
      </c>
      <c r="G765" s="21" t="s">
        <v>11</v>
      </c>
      <c r="H765" s="16"/>
    </row>
    <row r="766" spans="1:8" ht="15.75" x14ac:dyDescent="0.25">
      <c r="A766" s="9">
        <v>69094</v>
      </c>
      <c r="B766" s="17" t="s">
        <v>42</v>
      </c>
      <c r="C766" s="18">
        <v>46314</v>
      </c>
      <c r="D766" s="12">
        <v>1</v>
      </c>
      <c r="E766" s="13" t="s">
        <v>9</v>
      </c>
      <c r="F766" s="19" t="s">
        <v>31</v>
      </c>
      <c r="G766" s="21" t="s">
        <v>11</v>
      </c>
      <c r="H766" s="16"/>
    </row>
    <row r="767" spans="1:8" ht="15.75" x14ac:dyDescent="0.25">
      <c r="A767" s="9">
        <v>70312</v>
      </c>
      <c r="B767" s="17" t="s">
        <v>15</v>
      </c>
      <c r="C767" s="18">
        <v>46314</v>
      </c>
      <c r="D767" s="12">
        <v>16</v>
      </c>
      <c r="E767" s="13" t="s">
        <v>9</v>
      </c>
      <c r="F767" s="19" t="s">
        <v>31</v>
      </c>
      <c r="G767" s="20" t="s">
        <v>14</v>
      </c>
      <c r="H767" s="16" t="s">
        <v>119</v>
      </c>
    </row>
    <row r="768" spans="1:8" ht="15.75" x14ac:dyDescent="0.25">
      <c r="A768" s="9">
        <v>70311</v>
      </c>
      <c r="B768" s="17" t="s">
        <v>43</v>
      </c>
      <c r="C768" s="18">
        <v>46314</v>
      </c>
      <c r="D768" s="12">
        <v>1</v>
      </c>
      <c r="E768" s="13" t="s">
        <v>9</v>
      </c>
      <c r="F768" s="19" t="s">
        <v>31</v>
      </c>
      <c r="G768" s="20" t="s">
        <v>14</v>
      </c>
      <c r="H768" s="16" t="s">
        <v>120</v>
      </c>
    </row>
    <row r="769" spans="1:8" ht="15.75" x14ac:dyDescent="0.25">
      <c r="A769" s="9">
        <v>70303</v>
      </c>
      <c r="B769" s="17" t="s">
        <v>43</v>
      </c>
      <c r="C769" s="18">
        <v>46314</v>
      </c>
      <c r="D769" s="12">
        <v>1</v>
      </c>
      <c r="E769" s="13" t="s">
        <v>9</v>
      </c>
      <c r="F769" s="19" t="s">
        <v>31</v>
      </c>
      <c r="G769" s="20" t="s">
        <v>14</v>
      </c>
      <c r="H769" s="16" t="s">
        <v>93</v>
      </c>
    </row>
    <row r="770" spans="1:8" ht="15.75" x14ac:dyDescent="0.25">
      <c r="A770" s="9">
        <v>70298</v>
      </c>
      <c r="B770" s="17" t="s">
        <v>43</v>
      </c>
      <c r="C770" s="18">
        <v>46314</v>
      </c>
      <c r="D770" s="12">
        <v>1</v>
      </c>
      <c r="E770" s="13" t="s">
        <v>9</v>
      </c>
      <c r="F770" s="19" t="s">
        <v>31</v>
      </c>
      <c r="G770" s="20" t="s">
        <v>14</v>
      </c>
      <c r="H770" s="16"/>
    </row>
    <row r="771" spans="1:8" ht="15.75" x14ac:dyDescent="0.25">
      <c r="A771" s="9">
        <v>70277</v>
      </c>
      <c r="B771" s="17" t="s">
        <v>44</v>
      </c>
      <c r="C771" s="18">
        <v>46314</v>
      </c>
      <c r="D771" s="12">
        <v>1</v>
      </c>
      <c r="E771" s="13" t="s">
        <v>9</v>
      </c>
      <c r="F771" s="19" t="s">
        <v>31</v>
      </c>
      <c r="G771" s="20" t="s">
        <v>14</v>
      </c>
      <c r="H771" s="16" t="s">
        <v>120</v>
      </c>
    </row>
    <row r="772" spans="1:8" ht="15.75" x14ac:dyDescent="0.25">
      <c r="A772" s="9">
        <v>70260</v>
      </c>
      <c r="B772" s="17" t="s">
        <v>44</v>
      </c>
      <c r="C772" s="18">
        <v>46314</v>
      </c>
      <c r="D772" s="12">
        <v>2</v>
      </c>
      <c r="E772" s="13" t="s">
        <v>9</v>
      </c>
      <c r="F772" s="19" t="s">
        <v>31</v>
      </c>
      <c r="G772" s="20" t="s">
        <v>14</v>
      </c>
      <c r="H772" s="16"/>
    </row>
    <row r="773" spans="1:8" ht="15.75" x14ac:dyDescent="0.25">
      <c r="A773" s="9">
        <v>70255</v>
      </c>
      <c r="B773" s="17" t="s">
        <v>44</v>
      </c>
      <c r="C773" s="18">
        <v>46314</v>
      </c>
      <c r="D773" s="12">
        <v>10</v>
      </c>
      <c r="E773" s="13" t="s">
        <v>9</v>
      </c>
      <c r="F773" s="19" t="s">
        <v>31</v>
      </c>
      <c r="G773" s="20" t="s">
        <v>14</v>
      </c>
      <c r="H773" s="16"/>
    </row>
    <row r="774" spans="1:8" ht="15.75" x14ac:dyDescent="0.25">
      <c r="A774" s="9">
        <v>70251</v>
      </c>
      <c r="B774" s="17" t="s">
        <v>44</v>
      </c>
      <c r="C774" s="18">
        <v>46314</v>
      </c>
      <c r="D774" s="12">
        <v>4</v>
      </c>
      <c r="E774" s="13" t="s">
        <v>9</v>
      </c>
      <c r="F774" s="19" t="s">
        <v>31</v>
      </c>
      <c r="G774" s="20" t="s">
        <v>14</v>
      </c>
      <c r="H774" s="16"/>
    </row>
    <row r="775" spans="1:8" ht="15.75" x14ac:dyDescent="0.25">
      <c r="A775" s="9">
        <v>69469</v>
      </c>
      <c r="B775" s="17" t="s">
        <v>69</v>
      </c>
      <c r="C775" s="18">
        <v>46314</v>
      </c>
      <c r="D775" s="12">
        <v>5</v>
      </c>
      <c r="E775" s="13" t="s">
        <v>9</v>
      </c>
      <c r="F775" s="19" t="s">
        <v>31</v>
      </c>
      <c r="G775" s="21" t="s">
        <v>11</v>
      </c>
      <c r="H775" s="16"/>
    </row>
    <row r="776" spans="1:8" ht="15.75" x14ac:dyDescent="0.25">
      <c r="A776" s="9">
        <v>69470</v>
      </c>
      <c r="B776" s="17" t="s">
        <v>69</v>
      </c>
      <c r="C776" s="18">
        <v>46314</v>
      </c>
      <c r="D776" s="12">
        <v>3</v>
      </c>
      <c r="E776" s="13" t="s">
        <v>9</v>
      </c>
      <c r="F776" s="19" t="s">
        <v>31</v>
      </c>
      <c r="G776" s="21" t="s">
        <v>11</v>
      </c>
      <c r="H776" s="16"/>
    </row>
    <row r="777" spans="1:8" ht="15.75" x14ac:dyDescent="0.25">
      <c r="A777" s="9">
        <v>70390</v>
      </c>
      <c r="B777" s="17" t="s">
        <v>69</v>
      </c>
      <c r="C777" s="18">
        <v>46314</v>
      </c>
      <c r="D777" s="12">
        <v>1</v>
      </c>
      <c r="E777" s="13" t="s">
        <v>9</v>
      </c>
      <c r="F777" s="19" t="s">
        <v>31</v>
      </c>
      <c r="G777" s="20" t="s">
        <v>14</v>
      </c>
      <c r="H777" s="16" t="s">
        <v>121</v>
      </c>
    </row>
    <row r="778" spans="1:8" ht="15.75" x14ac:dyDescent="0.25">
      <c r="A778" s="9">
        <v>69767</v>
      </c>
      <c r="B778" s="17" t="s">
        <v>42</v>
      </c>
      <c r="C778" s="18">
        <v>46314</v>
      </c>
      <c r="D778" s="12">
        <v>3</v>
      </c>
      <c r="E778" s="13" t="s">
        <v>9</v>
      </c>
      <c r="F778" s="19" t="s">
        <v>31</v>
      </c>
      <c r="G778" s="20" t="s">
        <v>14</v>
      </c>
      <c r="H778" s="16" t="s">
        <v>108</v>
      </c>
    </row>
    <row r="779" spans="1:8" ht="15.75" x14ac:dyDescent="0.25">
      <c r="A779" s="9">
        <v>70279</v>
      </c>
      <c r="B779" s="17" t="s">
        <v>8</v>
      </c>
      <c r="C779" s="18">
        <v>46314</v>
      </c>
      <c r="D779" s="12">
        <v>2</v>
      </c>
      <c r="E779" s="13" t="s">
        <v>9</v>
      </c>
      <c r="F779" s="19" t="s">
        <v>31</v>
      </c>
      <c r="G779" s="20" t="s">
        <v>14</v>
      </c>
      <c r="H779" s="16" t="s">
        <v>122</v>
      </c>
    </row>
    <row r="780" spans="1:8" ht="15.75" x14ac:dyDescent="0.25">
      <c r="A780" s="9">
        <v>70278</v>
      </c>
      <c r="B780" s="17" t="s">
        <v>8</v>
      </c>
      <c r="C780" s="18">
        <v>46314</v>
      </c>
      <c r="D780" s="12">
        <v>3</v>
      </c>
      <c r="E780" s="13" t="s">
        <v>9</v>
      </c>
      <c r="F780" s="19" t="s">
        <v>31</v>
      </c>
      <c r="G780" s="20" t="s">
        <v>14</v>
      </c>
      <c r="H780" s="16" t="s">
        <v>89</v>
      </c>
    </row>
    <row r="781" spans="1:8" ht="15.75" x14ac:dyDescent="0.25">
      <c r="A781" s="9">
        <v>69803</v>
      </c>
      <c r="B781" s="17" t="s">
        <v>42</v>
      </c>
      <c r="C781" s="18">
        <v>46314</v>
      </c>
      <c r="D781" s="12">
        <v>4</v>
      </c>
      <c r="E781" s="13" t="s">
        <v>9</v>
      </c>
      <c r="F781" s="19" t="s">
        <v>31</v>
      </c>
      <c r="G781" s="20" t="s">
        <v>14</v>
      </c>
      <c r="H781" s="16" t="s">
        <v>111</v>
      </c>
    </row>
    <row r="782" spans="1:8" ht="15.75" x14ac:dyDescent="0.25">
      <c r="A782" s="9">
        <v>68147</v>
      </c>
      <c r="B782" s="17" t="s">
        <v>72</v>
      </c>
      <c r="C782" s="18">
        <v>46314</v>
      </c>
      <c r="D782" s="12">
        <v>1</v>
      </c>
      <c r="E782" s="13" t="s">
        <v>9</v>
      </c>
      <c r="F782" s="19" t="s">
        <v>31</v>
      </c>
      <c r="G782" s="20" t="s">
        <v>14</v>
      </c>
      <c r="H782" s="16"/>
    </row>
    <row r="783" spans="1:8" ht="15.75" x14ac:dyDescent="0.25">
      <c r="A783" s="9">
        <v>67824</v>
      </c>
      <c r="B783" s="17" t="s">
        <v>72</v>
      </c>
      <c r="C783" s="18">
        <v>46314</v>
      </c>
      <c r="D783" s="12">
        <v>1</v>
      </c>
      <c r="E783" s="13" t="s">
        <v>9</v>
      </c>
      <c r="F783" s="19" t="s">
        <v>31</v>
      </c>
      <c r="G783" s="20" t="s">
        <v>14</v>
      </c>
      <c r="H783" s="16"/>
    </row>
    <row r="784" spans="1:8" ht="15.75" x14ac:dyDescent="0.25">
      <c r="A784" s="9">
        <v>69541</v>
      </c>
      <c r="B784" s="17" t="s">
        <v>8</v>
      </c>
      <c r="C784" s="18">
        <v>46314</v>
      </c>
      <c r="D784" s="12">
        <v>9</v>
      </c>
      <c r="E784" s="13" t="s">
        <v>9</v>
      </c>
      <c r="F784" s="19" t="s">
        <v>31</v>
      </c>
      <c r="G784" s="20" t="s">
        <v>14</v>
      </c>
      <c r="H784" s="16"/>
    </row>
    <row r="785" spans="1:8" ht="15.75" x14ac:dyDescent="0.25">
      <c r="A785" s="9">
        <v>68170</v>
      </c>
      <c r="B785" s="17" t="s">
        <v>8</v>
      </c>
      <c r="C785" s="18">
        <v>46314</v>
      </c>
      <c r="D785" s="12">
        <v>3</v>
      </c>
      <c r="E785" s="13" t="s">
        <v>9</v>
      </c>
      <c r="F785" s="19" t="s">
        <v>31</v>
      </c>
      <c r="G785" s="21" t="s">
        <v>11</v>
      </c>
      <c r="H785" s="16" t="s">
        <v>123</v>
      </c>
    </row>
    <row r="786" spans="1:8" ht="15.75" x14ac:dyDescent="0.25">
      <c r="A786" s="9">
        <v>67000</v>
      </c>
      <c r="B786" s="17" t="s">
        <v>8</v>
      </c>
      <c r="C786" s="18">
        <v>46314</v>
      </c>
      <c r="D786" s="12">
        <v>1</v>
      </c>
      <c r="E786" s="13" t="s">
        <v>9</v>
      </c>
      <c r="F786" s="19" t="s">
        <v>31</v>
      </c>
      <c r="G786" s="21" t="s">
        <v>11</v>
      </c>
      <c r="H786" s="16" t="s">
        <v>123</v>
      </c>
    </row>
    <row r="787" spans="1:8" ht="15.75" x14ac:dyDescent="0.25">
      <c r="A787" s="9">
        <v>70246</v>
      </c>
      <c r="B787" s="17" t="s">
        <v>72</v>
      </c>
      <c r="C787" s="18">
        <v>46314</v>
      </c>
      <c r="D787" s="12">
        <v>6</v>
      </c>
      <c r="E787" s="13" t="s">
        <v>9</v>
      </c>
      <c r="F787" s="19" t="s">
        <v>31</v>
      </c>
      <c r="G787" s="20" t="s">
        <v>14</v>
      </c>
      <c r="H787" s="16"/>
    </row>
    <row r="788" spans="1:8" ht="15.75" x14ac:dyDescent="0.25">
      <c r="A788" s="9">
        <v>67939</v>
      </c>
      <c r="B788" s="17" t="s">
        <v>72</v>
      </c>
      <c r="C788" s="18">
        <v>46314</v>
      </c>
      <c r="D788" s="12">
        <v>1</v>
      </c>
      <c r="E788" s="13" t="s">
        <v>9</v>
      </c>
      <c r="F788" s="19" t="s">
        <v>31</v>
      </c>
      <c r="G788" s="21" t="s">
        <v>11</v>
      </c>
      <c r="H788" s="16"/>
    </row>
    <row r="789" spans="1:8" ht="15.75" x14ac:dyDescent="0.25">
      <c r="A789" s="9">
        <v>69967</v>
      </c>
      <c r="B789" s="17" t="s">
        <v>43</v>
      </c>
      <c r="C789" s="18">
        <v>46314</v>
      </c>
      <c r="D789" s="12">
        <v>8</v>
      </c>
      <c r="E789" s="13" t="s">
        <v>9</v>
      </c>
      <c r="F789" s="19" t="s">
        <v>31</v>
      </c>
      <c r="G789" s="21" t="s">
        <v>11</v>
      </c>
      <c r="H789" s="16" t="s">
        <v>124</v>
      </c>
    </row>
    <row r="790" spans="1:8" ht="15.75" x14ac:dyDescent="0.25">
      <c r="A790" s="9">
        <v>70088</v>
      </c>
      <c r="B790" s="17" t="s">
        <v>17</v>
      </c>
      <c r="C790" s="18">
        <v>46314</v>
      </c>
      <c r="D790" s="12">
        <v>4</v>
      </c>
      <c r="E790" s="13" t="s">
        <v>9</v>
      </c>
      <c r="F790" s="19" t="s">
        <v>31</v>
      </c>
      <c r="G790" s="21" t="s">
        <v>11</v>
      </c>
      <c r="H790" s="16" t="s">
        <v>125</v>
      </c>
    </row>
    <row r="791" spans="1:8" ht="15.75" x14ac:dyDescent="0.25">
      <c r="A791" s="9">
        <v>69908</v>
      </c>
      <c r="B791" s="17" t="s">
        <v>16</v>
      </c>
      <c r="C791" s="18">
        <v>46314</v>
      </c>
      <c r="D791" s="12">
        <v>2</v>
      </c>
      <c r="E791" s="13" t="s">
        <v>9</v>
      </c>
      <c r="F791" s="19" t="s">
        <v>31</v>
      </c>
      <c r="G791" s="21" t="s">
        <v>11</v>
      </c>
      <c r="H791" s="16" t="s">
        <v>125</v>
      </c>
    </row>
    <row r="792" spans="1:8" ht="15.75" x14ac:dyDescent="0.25">
      <c r="A792" s="9">
        <v>69053</v>
      </c>
      <c r="B792" s="17" t="s">
        <v>74</v>
      </c>
      <c r="C792" s="18">
        <v>46314</v>
      </c>
      <c r="D792" s="12">
        <v>6</v>
      </c>
      <c r="E792" s="13" t="s">
        <v>9</v>
      </c>
      <c r="F792" s="19" t="s">
        <v>31</v>
      </c>
      <c r="G792" s="21" t="s">
        <v>11</v>
      </c>
      <c r="H792" s="16"/>
    </row>
    <row r="793" spans="1:8" ht="15.75" x14ac:dyDescent="0.25">
      <c r="A793" s="9">
        <v>70161</v>
      </c>
      <c r="B793" s="17" t="s">
        <v>74</v>
      </c>
      <c r="C793" s="18">
        <v>46314</v>
      </c>
      <c r="D793" s="12">
        <v>2</v>
      </c>
      <c r="E793" s="13" t="s">
        <v>9</v>
      </c>
      <c r="F793" s="19" t="s">
        <v>31</v>
      </c>
      <c r="G793" s="20" t="s">
        <v>14</v>
      </c>
      <c r="H793" s="16" t="s">
        <v>126</v>
      </c>
    </row>
    <row r="794" spans="1:8" ht="15.75" x14ac:dyDescent="0.25">
      <c r="A794" s="9">
        <v>69414</v>
      </c>
      <c r="B794" s="17" t="s">
        <v>73</v>
      </c>
      <c r="C794" s="18">
        <v>46314</v>
      </c>
      <c r="D794" s="12">
        <v>2</v>
      </c>
      <c r="E794" s="13" t="s">
        <v>9</v>
      </c>
      <c r="F794" s="19" t="s">
        <v>31</v>
      </c>
      <c r="G794" s="20" t="s">
        <v>14</v>
      </c>
      <c r="H794" s="16"/>
    </row>
    <row r="795" spans="1:8" ht="15.75" x14ac:dyDescent="0.25">
      <c r="A795" s="9">
        <v>69448</v>
      </c>
      <c r="B795" s="17" t="s">
        <v>73</v>
      </c>
      <c r="C795" s="18">
        <v>46314</v>
      </c>
      <c r="D795" s="12">
        <v>2</v>
      </c>
      <c r="E795" s="13" t="s">
        <v>9</v>
      </c>
      <c r="F795" s="19" t="s">
        <v>31</v>
      </c>
      <c r="G795" s="20" t="s">
        <v>14</v>
      </c>
      <c r="H795" s="16"/>
    </row>
    <row r="796" spans="1:8" ht="15.75" x14ac:dyDescent="0.25">
      <c r="A796" s="9">
        <v>70054</v>
      </c>
      <c r="B796" s="17" t="s">
        <v>73</v>
      </c>
      <c r="C796" s="18">
        <v>46314</v>
      </c>
      <c r="D796" s="12">
        <v>1</v>
      </c>
      <c r="E796" s="13" t="s">
        <v>9</v>
      </c>
      <c r="F796" s="19" t="s">
        <v>31</v>
      </c>
      <c r="G796" s="20" t="s">
        <v>14</v>
      </c>
      <c r="H796" s="16" t="s">
        <v>127</v>
      </c>
    </row>
    <row r="797" spans="1:8" ht="15.75" x14ac:dyDescent="0.25">
      <c r="A797" s="9">
        <v>69601</v>
      </c>
      <c r="B797" s="17" t="s">
        <v>73</v>
      </c>
      <c r="C797" s="18">
        <v>46314</v>
      </c>
      <c r="D797" s="12">
        <v>1</v>
      </c>
      <c r="E797" s="13" t="s">
        <v>9</v>
      </c>
      <c r="F797" s="19" t="s">
        <v>31</v>
      </c>
      <c r="G797" s="20" t="s">
        <v>14</v>
      </c>
      <c r="H797" s="16"/>
    </row>
    <row r="798" spans="1:8" ht="15.75" x14ac:dyDescent="0.25">
      <c r="A798" s="9">
        <v>69756</v>
      </c>
      <c r="B798" s="17" t="s">
        <v>42</v>
      </c>
      <c r="C798" s="18">
        <v>46314</v>
      </c>
      <c r="D798" s="12">
        <v>1</v>
      </c>
      <c r="E798" s="13" t="s">
        <v>9</v>
      </c>
      <c r="F798" s="19" t="s">
        <v>31</v>
      </c>
      <c r="G798" s="21" t="s">
        <v>11</v>
      </c>
      <c r="H798" s="16"/>
    </row>
    <row r="799" spans="1:8" ht="15.75" x14ac:dyDescent="0.25">
      <c r="A799" s="9">
        <v>70156</v>
      </c>
      <c r="B799" s="17" t="s">
        <v>42</v>
      </c>
      <c r="C799" s="18">
        <v>46314</v>
      </c>
      <c r="D799" s="12">
        <v>3</v>
      </c>
      <c r="E799" s="13" t="s">
        <v>9</v>
      </c>
      <c r="F799" s="19" t="s">
        <v>31</v>
      </c>
      <c r="G799" s="20" t="s">
        <v>14</v>
      </c>
      <c r="H799" s="16"/>
    </row>
    <row r="800" spans="1:8" ht="15.75" x14ac:dyDescent="0.25">
      <c r="A800" s="27">
        <v>69368</v>
      </c>
      <c r="B800" s="17" t="s">
        <v>42</v>
      </c>
      <c r="C800" s="18">
        <v>46314</v>
      </c>
      <c r="D800" s="12">
        <v>1</v>
      </c>
      <c r="E800" s="13" t="s">
        <v>9</v>
      </c>
      <c r="F800" s="19" t="s">
        <v>31</v>
      </c>
      <c r="G800" s="21" t="s">
        <v>11</v>
      </c>
      <c r="H800" s="16"/>
    </row>
    <row r="801" spans="1:8" ht="15.75" x14ac:dyDescent="0.25">
      <c r="A801" s="9">
        <v>69050</v>
      </c>
      <c r="B801" s="17" t="s">
        <v>17</v>
      </c>
      <c r="C801" s="18">
        <v>46314</v>
      </c>
      <c r="D801" s="12">
        <v>1</v>
      </c>
      <c r="E801" s="13" t="s">
        <v>9</v>
      </c>
      <c r="F801" s="19" t="s">
        <v>31</v>
      </c>
      <c r="G801" s="21" t="s">
        <v>11</v>
      </c>
      <c r="H801" s="16"/>
    </row>
    <row r="802" spans="1:8" ht="15.75" x14ac:dyDescent="0.25">
      <c r="A802" s="9">
        <v>66227</v>
      </c>
      <c r="B802" s="17" t="s">
        <v>17</v>
      </c>
      <c r="C802" s="18">
        <v>46314</v>
      </c>
      <c r="D802" s="12">
        <v>2</v>
      </c>
      <c r="E802" s="13" t="s">
        <v>9</v>
      </c>
      <c r="F802" s="19" t="s">
        <v>31</v>
      </c>
      <c r="G802" s="21" t="s">
        <v>11</v>
      </c>
      <c r="H802" s="16"/>
    </row>
    <row r="803" spans="1:8" ht="15.75" x14ac:dyDescent="0.25">
      <c r="A803" s="9">
        <v>69959</v>
      </c>
      <c r="B803" s="17" t="s">
        <v>43</v>
      </c>
      <c r="C803" s="18">
        <v>46314</v>
      </c>
      <c r="D803" s="12">
        <v>1</v>
      </c>
      <c r="E803" s="13" t="s">
        <v>9</v>
      </c>
      <c r="F803" s="19" t="s">
        <v>31</v>
      </c>
      <c r="G803" s="21" t="s">
        <v>11</v>
      </c>
      <c r="H803" s="16" t="s">
        <v>128</v>
      </c>
    </row>
    <row r="804" spans="1:8" ht="15.75" x14ac:dyDescent="0.25">
      <c r="A804" s="9">
        <v>70209</v>
      </c>
      <c r="B804" s="17" t="s">
        <v>43</v>
      </c>
      <c r="C804" s="18">
        <v>46314</v>
      </c>
      <c r="D804" s="12">
        <v>1</v>
      </c>
      <c r="E804" s="13" t="s">
        <v>9</v>
      </c>
      <c r="F804" s="19" t="s">
        <v>31</v>
      </c>
      <c r="G804" s="20" t="s">
        <v>14</v>
      </c>
      <c r="H804" s="16" t="s">
        <v>118</v>
      </c>
    </row>
    <row r="805" spans="1:8" ht="15.75" x14ac:dyDescent="0.25">
      <c r="A805" s="9">
        <v>70225</v>
      </c>
      <c r="B805" s="17" t="s">
        <v>73</v>
      </c>
      <c r="C805" s="18">
        <v>46314</v>
      </c>
      <c r="D805" s="12">
        <v>2</v>
      </c>
      <c r="E805" s="13" t="s">
        <v>9</v>
      </c>
      <c r="F805" s="19" t="s">
        <v>31</v>
      </c>
      <c r="G805" s="20" t="s">
        <v>14</v>
      </c>
      <c r="H805" s="16" t="s">
        <v>118</v>
      </c>
    </row>
    <row r="806" spans="1:8" ht="15.75" x14ac:dyDescent="0.25">
      <c r="A806" s="27">
        <v>69754</v>
      </c>
      <c r="B806" s="17" t="s">
        <v>18</v>
      </c>
      <c r="C806" s="18">
        <v>46314</v>
      </c>
      <c r="D806" s="12">
        <v>2</v>
      </c>
      <c r="E806" s="13" t="s">
        <v>9</v>
      </c>
      <c r="F806" s="19" t="s">
        <v>31</v>
      </c>
      <c r="G806" s="21" t="s">
        <v>11</v>
      </c>
      <c r="H806" s="16" t="s">
        <v>95</v>
      </c>
    </row>
    <row r="807" spans="1:8" ht="15.75" x14ac:dyDescent="0.25">
      <c r="A807" s="9">
        <v>66980</v>
      </c>
      <c r="B807" s="17" t="s">
        <v>43</v>
      </c>
      <c r="C807" s="18">
        <v>46314</v>
      </c>
      <c r="D807" s="12">
        <v>4</v>
      </c>
      <c r="E807" s="13" t="s">
        <v>9</v>
      </c>
      <c r="F807" s="19" t="s">
        <v>31</v>
      </c>
      <c r="G807" s="21" t="s">
        <v>11</v>
      </c>
      <c r="H807" s="16"/>
    </row>
    <row r="808" spans="1:8" ht="15.75" x14ac:dyDescent="0.25">
      <c r="A808" s="9">
        <v>69185</v>
      </c>
      <c r="B808" s="17" t="s">
        <v>15</v>
      </c>
      <c r="C808" s="18">
        <v>46314</v>
      </c>
      <c r="D808" s="12">
        <v>1</v>
      </c>
      <c r="E808" s="13" t="s">
        <v>9</v>
      </c>
      <c r="F808" s="19" t="s">
        <v>31</v>
      </c>
      <c r="G808" s="21" t="s">
        <v>11</v>
      </c>
      <c r="H808" s="16"/>
    </row>
    <row r="809" spans="1:8" ht="15.75" x14ac:dyDescent="0.25">
      <c r="A809" s="9">
        <v>70365</v>
      </c>
      <c r="B809" s="17" t="s">
        <v>69</v>
      </c>
      <c r="C809" s="18">
        <v>46315</v>
      </c>
      <c r="D809" s="12">
        <v>1</v>
      </c>
      <c r="E809" s="13" t="s">
        <v>9</v>
      </c>
      <c r="F809" s="19" t="s">
        <v>31</v>
      </c>
      <c r="G809" s="20" t="s">
        <v>14</v>
      </c>
      <c r="H809" s="16" t="s">
        <v>129</v>
      </c>
    </row>
    <row r="810" spans="1:8" ht="15.75" x14ac:dyDescent="0.25">
      <c r="A810" s="9">
        <v>70366</v>
      </c>
      <c r="B810" s="17" t="s">
        <v>42</v>
      </c>
      <c r="C810" s="18">
        <v>46315</v>
      </c>
      <c r="D810" s="12">
        <v>4</v>
      </c>
      <c r="E810" s="13" t="s">
        <v>9</v>
      </c>
      <c r="F810" s="19" t="s">
        <v>31</v>
      </c>
      <c r="G810" s="20" t="s">
        <v>14</v>
      </c>
      <c r="H810" s="16" t="s">
        <v>129</v>
      </c>
    </row>
    <row r="811" spans="1:8" ht="15.75" x14ac:dyDescent="0.25">
      <c r="A811" s="9">
        <v>70368</v>
      </c>
      <c r="B811" s="17" t="s">
        <v>17</v>
      </c>
      <c r="C811" s="18">
        <v>46315</v>
      </c>
      <c r="D811" s="12">
        <v>4</v>
      </c>
      <c r="E811" s="13" t="s">
        <v>9</v>
      </c>
      <c r="F811" s="19" t="s">
        <v>31</v>
      </c>
      <c r="G811" s="20" t="s">
        <v>14</v>
      </c>
      <c r="H811" s="16" t="s">
        <v>129</v>
      </c>
    </row>
    <row r="812" spans="1:8" ht="15.75" x14ac:dyDescent="0.25">
      <c r="A812" s="9">
        <v>70370</v>
      </c>
      <c r="B812" s="17" t="s">
        <v>16</v>
      </c>
      <c r="C812" s="18">
        <v>46315</v>
      </c>
      <c r="D812" s="12">
        <v>3</v>
      </c>
      <c r="E812" s="13" t="s">
        <v>9</v>
      </c>
      <c r="F812" s="19" t="s">
        <v>31</v>
      </c>
      <c r="G812" s="20" t="s">
        <v>14</v>
      </c>
      <c r="H812" s="16" t="s">
        <v>129</v>
      </c>
    </row>
    <row r="813" spans="1:8" ht="15.75" x14ac:dyDescent="0.25">
      <c r="A813" s="9">
        <v>70374</v>
      </c>
      <c r="B813" s="17" t="s">
        <v>72</v>
      </c>
      <c r="C813" s="18">
        <v>46315</v>
      </c>
      <c r="D813" s="12">
        <v>3</v>
      </c>
      <c r="E813" s="13" t="s">
        <v>9</v>
      </c>
      <c r="F813" s="19" t="s">
        <v>31</v>
      </c>
      <c r="G813" s="20" t="s">
        <v>14</v>
      </c>
      <c r="H813" s="16" t="s">
        <v>129</v>
      </c>
    </row>
    <row r="814" spans="1:8" ht="15.75" x14ac:dyDescent="0.25">
      <c r="A814" s="9">
        <v>70372</v>
      </c>
      <c r="B814" s="17" t="s">
        <v>72</v>
      </c>
      <c r="C814" s="18">
        <v>46315</v>
      </c>
      <c r="D814" s="12">
        <v>4</v>
      </c>
      <c r="E814" s="13" t="s">
        <v>9</v>
      </c>
      <c r="F814" s="19" t="s">
        <v>31</v>
      </c>
      <c r="G814" s="20" t="s">
        <v>14</v>
      </c>
      <c r="H814" s="16" t="s">
        <v>129</v>
      </c>
    </row>
    <row r="815" spans="1:8" ht="15.75" x14ac:dyDescent="0.25">
      <c r="A815" s="9">
        <v>70378</v>
      </c>
      <c r="B815" s="17" t="s">
        <v>17</v>
      </c>
      <c r="C815" s="18">
        <v>46315</v>
      </c>
      <c r="D815" s="12">
        <v>1</v>
      </c>
      <c r="E815" s="13" t="s">
        <v>9</v>
      </c>
      <c r="F815" s="19" t="s">
        <v>31</v>
      </c>
      <c r="G815" s="20" t="s">
        <v>14</v>
      </c>
      <c r="H815" s="16" t="s">
        <v>129</v>
      </c>
    </row>
    <row r="816" spans="1:8" ht="15.75" x14ac:dyDescent="0.25">
      <c r="A816" s="9">
        <v>70375</v>
      </c>
      <c r="B816" s="17" t="s">
        <v>17</v>
      </c>
      <c r="C816" s="18">
        <v>46315</v>
      </c>
      <c r="D816" s="12">
        <v>1</v>
      </c>
      <c r="E816" s="13" t="s">
        <v>9</v>
      </c>
      <c r="F816" s="19" t="s">
        <v>31</v>
      </c>
      <c r="G816" s="20" t="s">
        <v>14</v>
      </c>
      <c r="H816" s="16" t="s">
        <v>129</v>
      </c>
    </row>
    <row r="817" spans="1:8" ht="15.75" x14ac:dyDescent="0.25">
      <c r="A817" s="9">
        <v>70373</v>
      </c>
      <c r="B817" s="17" t="s">
        <v>17</v>
      </c>
      <c r="C817" s="18">
        <v>46315</v>
      </c>
      <c r="D817" s="12">
        <v>2</v>
      </c>
      <c r="E817" s="13" t="s">
        <v>9</v>
      </c>
      <c r="F817" s="19" t="s">
        <v>31</v>
      </c>
      <c r="G817" s="20" t="s">
        <v>14</v>
      </c>
      <c r="H817" s="16" t="s">
        <v>129</v>
      </c>
    </row>
    <row r="818" spans="1:8" ht="15.75" x14ac:dyDescent="0.25">
      <c r="A818" s="9">
        <v>68822</v>
      </c>
      <c r="B818" s="17" t="s">
        <v>16</v>
      </c>
      <c r="C818" s="18">
        <v>46315</v>
      </c>
      <c r="D818" s="12">
        <v>1</v>
      </c>
      <c r="E818" s="13" t="s">
        <v>9</v>
      </c>
      <c r="F818" s="19" t="s">
        <v>31</v>
      </c>
      <c r="G818" s="20" t="s">
        <v>14</v>
      </c>
      <c r="H818" s="16" t="s">
        <v>84</v>
      </c>
    </row>
    <row r="819" spans="1:8" ht="15.75" x14ac:dyDescent="0.25">
      <c r="A819" s="9">
        <v>69687</v>
      </c>
      <c r="B819" s="17" t="s">
        <v>16</v>
      </c>
      <c r="C819" s="18">
        <v>46315</v>
      </c>
      <c r="D819" s="12">
        <v>1</v>
      </c>
      <c r="E819" s="13" t="s">
        <v>9</v>
      </c>
      <c r="F819" s="19" t="s">
        <v>31</v>
      </c>
      <c r="G819" s="20" t="s">
        <v>14</v>
      </c>
      <c r="H819" s="16" t="s">
        <v>84</v>
      </c>
    </row>
    <row r="820" spans="1:8" ht="15.75" x14ac:dyDescent="0.25">
      <c r="A820" s="9">
        <v>70241</v>
      </c>
      <c r="B820" s="17" t="s">
        <v>16</v>
      </c>
      <c r="C820" s="18">
        <v>46315</v>
      </c>
      <c r="D820" s="12">
        <v>1</v>
      </c>
      <c r="E820" s="13" t="s">
        <v>9</v>
      </c>
      <c r="F820" s="19" t="s">
        <v>31</v>
      </c>
      <c r="G820" s="20" t="s">
        <v>14</v>
      </c>
      <c r="H820" s="16" t="s">
        <v>84</v>
      </c>
    </row>
    <row r="821" spans="1:8" ht="15.75" x14ac:dyDescent="0.25">
      <c r="A821" s="9">
        <v>70314</v>
      </c>
      <c r="B821" s="17" t="s">
        <v>17</v>
      </c>
      <c r="C821" s="18">
        <v>46315</v>
      </c>
      <c r="D821" s="12">
        <v>16</v>
      </c>
      <c r="E821" s="13" t="s">
        <v>9</v>
      </c>
      <c r="F821" s="19" t="s">
        <v>31</v>
      </c>
      <c r="G821" s="20" t="s">
        <v>14</v>
      </c>
      <c r="H821" s="16" t="s">
        <v>130</v>
      </c>
    </row>
    <row r="822" spans="1:8" ht="15.75" x14ac:dyDescent="0.25">
      <c r="A822" s="9">
        <v>70098</v>
      </c>
      <c r="B822" s="17" t="s">
        <v>21</v>
      </c>
      <c r="C822" s="18">
        <v>46315</v>
      </c>
      <c r="D822" s="12">
        <v>2</v>
      </c>
      <c r="E822" s="13" t="s">
        <v>9</v>
      </c>
      <c r="F822" s="19" t="s">
        <v>31</v>
      </c>
      <c r="G822" s="20" t="s">
        <v>14</v>
      </c>
      <c r="H822" s="16" t="s">
        <v>93</v>
      </c>
    </row>
    <row r="823" spans="1:8" ht="15.75" x14ac:dyDescent="0.25">
      <c r="A823" s="9">
        <v>70097</v>
      </c>
      <c r="B823" s="17" t="s">
        <v>21</v>
      </c>
      <c r="C823" s="18">
        <v>46315</v>
      </c>
      <c r="D823" s="12">
        <v>2</v>
      </c>
      <c r="E823" s="13" t="s">
        <v>9</v>
      </c>
      <c r="F823" s="19" t="s">
        <v>31</v>
      </c>
      <c r="G823" s="20" t="s">
        <v>14</v>
      </c>
      <c r="H823" s="16" t="s">
        <v>93</v>
      </c>
    </row>
    <row r="824" spans="1:8" ht="15.75" x14ac:dyDescent="0.25">
      <c r="A824" s="9">
        <v>70095</v>
      </c>
      <c r="B824" s="17" t="s">
        <v>21</v>
      </c>
      <c r="C824" s="18">
        <v>46315</v>
      </c>
      <c r="D824" s="12">
        <v>2</v>
      </c>
      <c r="E824" s="13" t="s">
        <v>9</v>
      </c>
      <c r="F824" s="19" t="s">
        <v>31</v>
      </c>
      <c r="G824" s="20" t="s">
        <v>14</v>
      </c>
      <c r="H824" s="16" t="s">
        <v>93</v>
      </c>
    </row>
    <row r="825" spans="1:8" ht="15.75" x14ac:dyDescent="0.25">
      <c r="A825" s="9">
        <v>70139</v>
      </c>
      <c r="B825" s="17" t="s">
        <v>69</v>
      </c>
      <c r="C825" s="18">
        <v>46315</v>
      </c>
      <c r="D825" s="12">
        <v>0</v>
      </c>
      <c r="E825" s="13" t="s">
        <v>9</v>
      </c>
      <c r="F825" s="19" t="s">
        <v>31</v>
      </c>
      <c r="G825" s="20" t="s">
        <v>14</v>
      </c>
      <c r="H825" s="16"/>
    </row>
    <row r="826" spans="1:8" ht="15.75" x14ac:dyDescent="0.25">
      <c r="A826" s="9">
        <v>70126</v>
      </c>
      <c r="B826" s="17" t="s">
        <v>21</v>
      </c>
      <c r="C826" s="18">
        <v>46315</v>
      </c>
      <c r="D826" s="12">
        <v>2</v>
      </c>
      <c r="E826" s="13" t="s">
        <v>9</v>
      </c>
      <c r="F826" s="19" t="s">
        <v>31</v>
      </c>
      <c r="G826" s="20" t="s">
        <v>14</v>
      </c>
      <c r="H826" s="16" t="s">
        <v>93</v>
      </c>
    </row>
    <row r="827" spans="1:8" ht="15.75" x14ac:dyDescent="0.25">
      <c r="A827" s="9">
        <v>70124</v>
      </c>
      <c r="B827" s="17" t="s">
        <v>21</v>
      </c>
      <c r="C827" s="18">
        <v>46315</v>
      </c>
      <c r="D827" s="12">
        <v>1</v>
      </c>
      <c r="E827" s="13" t="s">
        <v>9</v>
      </c>
      <c r="F827" s="19" t="s">
        <v>31</v>
      </c>
      <c r="G827" s="20" t="s">
        <v>14</v>
      </c>
      <c r="H827" s="16" t="s">
        <v>93</v>
      </c>
    </row>
    <row r="828" spans="1:8" ht="15.75" x14ac:dyDescent="0.25">
      <c r="A828" s="9">
        <v>70117</v>
      </c>
      <c r="B828" s="17" t="s">
        <v>21</v>
      </c>
      <c r="C828" s="18">
        <v>46315</v>
      </c>
      <c r="D828" s="12">
        <v>2</v>
      </c>
      <c r="E828" s="13" t="s">
        <v>9</v>
      </c>
      <c r="F828" s="19" t="s">
        <v>31</v>
      </c>
      <c r="G828" s="20" t="s">
        <v>14</v>
      </c>
      <c r="H828" s="16" t="s">
        <v>93</v>
      </c>
    </row>
    <row r="829" spans="1:8" ht="15.75" x14ac:dyDescent="0.25">
      <c r="A829" s="9">
        <v>70108</v>
      </c>
      <c r="B829" s="17" t="s">
        <v>69</v>
      </c>
      <c r="C829" s="18">
        <v>46315</v>
      </c>
      <c r="D829" s="12">
        <v>1</v>
      </c>
      <c r="E829" s="13" t="s">
        <v>9</v>
      </c>
      <c r="F829" s="19" t="s">
        <v>31</v>
      </c>
      <c r="G829" s="20" t="s">
        <v>14</v>
      </c>
      <c r="H829" s="16" t="s">
        <v>93</v>
      </c>
    </row>
    <row r="830" spans="1:8" ht="15.75" x14ac:dyDescent="0.25">
      <c r="A830" s="9">
        <v>70101</v>
      </c>
      <c r="B830" s="17" t="s">
        <v>21</v>
      </c>
      <c r="C830" s="18">
        <v>46315</v>
      </c>
      <c r="D830" s="12">
        <v>1</v>
      </c>
      <c r="E830" s="13" t="s">
        <v>9</v>
      </c>
      <c r="F830" s="19" t="s">
        <v>31</v>
      </c>
      <c r="G830" s="20" t="s">
        <v>14</v>
      </c>
      <c r="H830" s="16" t="s">
        <v>93</v>
      </c>
    </row>
    <row r="831" spans="1:8" ht="15.75" x14ac:dyDescent="0.25">
      <c r="A831" s="9">
        <v>70100</v>
      </c>
      <c r="B831" s="17" t="s">
        <v>21</v>
      </c>
      <c r="C831" s="18">
        <v>46315</v>
      </c>
      <c r="D831" s="12">
        <v>1</v>
      </c>
      <c r="E831" s="13" t="s">
        <v>9</v>
      </c>
      <c r="F831" s="19" t="s">
        <v>31</v>
      </c>
      <c r="G831" s="20" t="s">
        <v>14</v>
      </c>
      <c r="H831" s="16" t="s">
        <v>93</v>
      </c>
    </row>
    <row r="832" spans="1:8" ht="15.75" x14ac:dyDescent="0.25">
      <c r="A832" s="9">
        <v>70143</v>
      </c>
      <c r="B832" s="17" t="s">
        <v>21</v>
      </c>
      <c r="C832" s="18">
        <v>46315</v>
      </c>
      <c r="D832" s="12">
        <v>0</v>
      </c>
      <c r="E832" s="13" t="s">
        <v>9</v>
      </c>
      <c r="F832" s="19" t="s">
        <v>31</v>
      </c>
      <c r="G832" s="20" t="s">
        <v>14</v>
      </c>
      <c r="H832" s="16"/>
    </row>
    <row r="833" spans="1:8" ht="15.75" x14ac:dyDescent="0.25">
      <c r="A833" s="9">
        <v>70173</v>
      </c>
      <c r="B833" s="17" t="s">
        <v>21</v>
      </c>
      <c r="C833" s="18">
        <v>46315</v>
      </c>
      <c r="D833" s="12">
        <v>0</v>
      </c>
      <c r="E833" s="13" t="s">
        <v>9</v>
      </c>
      <c r="F833" s="19" t="s">
        <v>31</v>
      </c>
      <c r="G833" s="20" t="s">
        <v>14</v>
      </c>
      <c r="H833" s="16"/>
    </row>
    <row r="834" spans="1:8" ht="15.75" x14ac:dyDescent="0.25">
      <c r="A834" s="9">
        <v>70224</v>
      </c>
      <c r="B834" s="17" t="s">
        <v>21</v>
      </c>
      <c r="C834" s="18">
        <v>46315</v>
      </c>
      <c r="D834" s="12">
        <v>0</v>
      </c>
      <c r="E834" s="13" t="s">
        <v>9</v>
      </c>
      <c r="F834" s="19" t="s">
        <v>31</v>
      </c>
      <c r="G834" s="20" t="s">
        <v>14</v>
      </c>
      <c r="H834" s="16"/>
    </row>
    <row r="835" spans="1:8" ht="15.75" x14ac:dyDescent="0.25">
      <c r="A835" s="9">
        <v>70222</v>
      </c>
      <c r="B835" s="17" t="s">
        <v>21</v>
      </c>
      <c r="C835" s="18">
        <v>46315</v>
      </c>
      <c r="D835" s="12">
        <v>0</v>
      </c>
      <c r="E835" s="13" t="s">
        <v>9</v>
      </c>
      <c r="F835" s="19" t="s">
        <v>31</v>
      </c>
      <c r="G835" s="20" t="s">
        <v>14</v>
      </c>
      <c r="H835" s="16"/>
    </row>
    <row r="836" spans="1:8" ht="15.75" x14ac:dyDescent="0.25">
      <c r="A836" s="9">
        <v>70217</v>
      </c>
      <c r="B836" s="17" t="s">
        <v>69</v>
      </c>
      <c r="C836" s="18">
        <v>46315</v>
      </c>
      <c r="D836" s="12">
        <v>0</v>
      </c>
      <c r="E836" s="13" t="s">
        <v>9</v>
      </c>
      <c r="F836" s="19" t="s">
        <v>31</v>
      </c>
      <c r="G836" s="20" t="s">
        <v>14</v>
      </c>
      <c r="H836" s="16"/>
    </row>
    <row r="837" spans="1:8" ht="15.75" x14ac:dyDescent="0.25">
      <c r="A837" s="9">
        <v>70190</v>
      </c>
      <c r="B837" s="17" t="s">
        <v>21</v>
      </c>
      <c r="C837" s="18">
        <v>46315</v>
      </c>
      <c r="D837" s="12">
        <v>0</v>
      </c>
      <c r="E837" s="13" t="s">
        <v>9</v>
      </c>
      <c r="F837" s="19" t="s">
        <v>31</v>
      </c>
      <c r="G837" s="20" t="s">
        <v>14</v>
      </c>
      <c r="H837" s="16"/>
    </row>
    <row r="838" spans="1:8" ht="15.75" x14ac:dyDescent="0.25">
      <c r="A838" s="9">
        <v>70179</v>
      </c>
      <c r="B838" s="17" t="s">
        <v>21</v>
      </c>
      <c r="C838" s="18">
        <v>46315</v>
      </c>
      <c r="D838" s="12">
        <v>0</v>
      </c>
      <c r="E838" s="13" t="s">
        <v>9</v>
      </c>
      <c r="F838" s="19" t="s">
        <v>31</v>
      </c>
      <c r="G838" s="20" t="s">
        <v>14</v>
      </c>
      <c r="H838" s="16"/>
    </row>
    <row r="839" spans="1:8" ht="15.75" x14ac:dyDescent="0.25">
      <c r="A839" s="9">
        <v>70304</v>
      </c>
      <c r="B839" s="17" t="s">
        <v>21</v>
      </c>
      <c r="C839" s="18">
        <v>46315</v>
      </c>
      <c r="D839" s="12">
        <v>2</v>
      </c>
      <c r="E839" s="13" t="s">
        <v>9</v>
      </c>
      <c r="F839" s="19" t="s">
        <v>31</v>
      </c>
      <c r="G839" s="20" t="s">
        <v>14</v>
      </c>
      <c r="H839" s="16" t="s">
        <v>93</v>
      </c>
    </row>
    <row r="840" spans="1:8" ht="15.75" x14ac:dyDescent="0.25">
      <c r="A840" s="9">
        <v>70302</v>
      </c>
      <c r="B840" s="17" t="s">
        <v>21</v>
      </c>
      <c r="C840" s="18">
        <v>46315</v>
      </c>
      <c r="D840" s="12">
        <v>0</v>
      </c>
      <c r="E840" s="13" t="s">
        <v>9</v>
      </c>
      <c r="F840" s="19" t="s">
        <v>31</v>
      </c>
      <c r="G840" s="20" t="s">
        <v>14</v>
      </c>
      <c r="H840" s="16"/>
    </row>
    <row r="841" spans="1:8" ht="15.75" x14ac:dyDescent="0.25">
      <c r="A841" s="9">
        <v>70301</v>
      </c>
      <c r="B841" s="17" t="s">
        <v>21</v>
      </c>
      <c r="C841" s="18">
        <v>46315</v>
      </c>
      <c r="D841" s="12">
        <v>0</v>
      </c>
      <c r="E841" s="13" t="s">
        <v>9</v>
      </c>
      <c r="F841" s="19" t="s">
        <v>31</v>
      </c>
      <c r="G841" s="20" t="s">
        <v>14</v>
      </c>
      <c r="H841" s="16"/>
    </row>
    <row r="842" spans="1:8" ht="15.75" x14ac:dyDescent="0.25">
      <c r="A842" s="9">
        <v>70293</v>
      </c>
      <c r="B842" s="17" t="s">
        <v>21</v>
      </c>
      <c r="C842" s="18">
        <v>46315</v>
      </c>
      <c r="D842" s="12">
        <v>0</v>
      </c>
      <c r="E842" s="13" t="s">
        <v>9</v>
      </c>
      <c r="F842" s="19" t="s">
        <v>31</v>
      </c>
      <c r="G842" s="20" t="s">
        <v>14</v>
      </c>
      <c r="H842" s="16"/>
    </row>
    <row r="843" spans="1:8" ht="15.75" x14ac:dyDescent="0.25">
      <c r="A843" s="9">
        <v>70292</v>
      </c>
      <c r="B843" s="17" t="s">
        <v>21</v>
      </c>
      <c r="C843" s="18">
        <v>46315</v>
      </c>
      <c r="D843" s="12">
        <v>0</v>
      </c>
      <c r="E843" s="13" t="s">
        <v>9</v>
      </c>
      <c r="F843" s="19" t="s">
        <v>31</v>
      </c>
      <c r="G843" s="20" t="s">
        <v>14</v>
      </c>
      <c r="H843" s="16"/>
    </row>
    <row r="844" spans="1:8" ht="15.75" x14ac:dyDescent="0.25">
      <c r="A844" s="9">
        <v>70291</v>
      </c>
      <c r="B844" s="17" t="s">
        <v>21</v>
      </c>
      <c r="C844" s="18">
        <v>46315</v>
      </c>
      <c r="D844" s="12">
        <v>0</v>
      </c>
      <c r="E844" s="13" t="s">
        <v>9</v>
      </c>
      <c r="F844" s="19" t="s">
        <v>31</v>
      </c>
      <c r="G844" s="20" t="s">
        <v>14</v>
      </c>
      <c r="H844" s="16"/>
    </row>
    <row r="845" spans="1:8" ht="15.75" x14ac:dyDescent="0.25">
      <c r="A845" s="9">
        <v>70290</v>
      </c>
      <c r="B845" s="17" t="s">
        <v>21</v>
      </c>
      <c r="C845" s="18">
        <v>46315</v>
      </c>
      <c r="D845" s="12">
        <v>0</v>
      </c>
      <c r="E845" s="13" t="s">
        <v>9</v>
      </c>
      <c r="F845" s="19" t="s">
        <v>31</v>
      </c>
      <c r="G845" s="20" t="s">
        <v>14</v>
      </c>
      <c r="H845" s="16"/>
    </row>
    <row r="846" spans="1:8" ht="15.75" x14ac:dyDescent="0.25">
      <c r="A846" s="9">
        <v>70287</v>
      </c>
      <c r="B846" s="17" t="s">
        <v>21</v>
      </c>
      <c r="C846" s="18">
        <v>46315</v>
      </c>
      <c r="D846" s="12">
        <v>0</v>
      </c>
      <c r="E846" s="13" t="s">
        <v>9</v>
      </c>
      <c r="F846" s="19" t="s">
        <v>31</v>
      </c>
      <c r="G846" s="20" t="s">
        <v>14</v>
      </c>
      <c r="H846" s="16"/>
    </row>
    <row r="847" spans="1:8" ht="15.75" x14ac:dyDescent="0.25">
      <c r="A847" s="9">
        <v>70284</v>
      </c>
      <c r="B847" s="17" t="s">
        <v>69</v>
      </c>
      <c r="C847" s="18">
        <v>46315</v>
      </c>
      <c r="D847" s="12">
        <v>0</v>
      </c>
      <c r="E847" s="13" t="s">
        <v>9</v>
      </c>
      <c r="F847" s="19" t="s">
        <v>31</v>
      </c>
      <c r="G847" s="20" t="s">
        <v>14</v>
      </c>
      <c r="H847" s="16"/>
    </row>
    <row r="848" spans="1:8" ht="15.75" x14ac:dyDescent="0.25">
      <c r="A848" s="9">
        <v>70282</v>
      </c>
      <c r="B848" s="17" t="s">
        <v>69</v>
      </c>
      <c r="C848" s="18">
        <v>46315</v>
      </c>
      <c r="D848" s="12">
        <v>0</v>
      </c>
      <c r="E848" s="13" t="s">
        <v>9</v>
      </c>
      <c r="F848" s="19" t="s">
        <v>31</v>
      </c>
      <c r="G848" s="20" t="s">
        <v>14</v>
      </c>
      <c r="H848" s="16"/>
    </row>
    <row r="849" spans="1:8" ht="15.75" x14ac:dyDescent="0.25">
      <c r="A849" s="9">
        <v>70052</v>
      </c>
      <c r="B849" s="17" t="s">
        <v>69</v>
      </c>
      <c r="C849" s="18">
        <v>46315</v>
      </c>
      <c r="D849" s="12">
        <v>0</v>
      </c>
      <c r="E849" s="13" t="s">
        <v>9</v>
      </c>
      <c r="F849" s="19" t="s">
        <v>31</v>
      </c>
      <c r="G849" s="20" t="s">
        <v>14</v>
      </c>
      <c r="H849" s="16"/>
    </row>
    <row r="850" spans="1:8" ht="15.75" x14ac:dyDescent="0.25">
      <c r="A850" s="9">
        <v>69891</v>
      </c>
      <c r="B850" s="17" t="s">
        <v>69</v>
      </c>
      <c r="C850" s="18">
        <v>46315</v>
      </c>
      <c r="D850" s="12">
        <v>0</v>
      </c>
      <c r="E850" s="13" t="s">
        <v>9</v>
      </c>
      <c r="F850" s="19" t="s">
        <v>31</v>
      </c>
      <c r="G850" s="20" t="s">
        <v>14</v>
      </c>
      <c r="H850" s="16"/>
    </row>
    <row r="851" spans="1:8" ht="15.75" x14ac:dyDescent="0.25">
      <c r="A851" s="9">
        <v>70388</v>
      </c>
      <c r="B851" s="17" t="s">
        <v>69</v>
      </c>
      <c r="C851" s="18">
        <v>46315</v>
      </c>
      <c r="D851" s="12">
        <v>0</v>
      </c>
      <c r="E851" s="13" t="s">
        <v>9</v>
      </c>
      <c r="F851" s="19" t="s">
        <v>31</v>
      </c>
      <c r="G851" s="20" t="s">
        <v>14</v>
      </c>
      <c r="H851" s="16"/>
    </row>
    <row r="852" spans="1:8" ht="15.75" x14ac:dyDescent="0.25">
      <c r="A852" s="9">
        <v>70453</v>
      </c>
      <c r="B852" s="17" t="s">
        <v>73</v>
      </c>
      <c r="C852" s="18">
        <v>46315</v>
      </c>
      <c r="D852" s="12">
        <v>0</v>
      </c>
      <c r="E852" s="13" t="s">
        <v>9</v>
      </c>
      <c r="F852" s="19" t="s">
        <v>31</v>
      </c>
      <c r="G852" s="20" t="s">
        <v>14</v>
      </c>
      <c r="H852" s="16"/>
    </row>
    <row r="853" spans="1:8" ht="15.75" x14ac:dyDescent="0.25">
      <c r="A853" s="9">
        <v>70226</v>
      </c>
      <c r="B853" s="17" t="s">
        <v>73</v>
      </c>
      <c r="C853" s="18">
        <v>46315</v>
      </c>
      <c r="D853" s="12">
        <v>0</v>
      </c>
      <c r="E853" s="13" t="s">
        <v>9</v>
      </c>
      <c r="F853" s="19" t="s">
        <v>31</v>
      </c>
      <c r="G853" s="20" t="s">
        <v>14</v>
      </c>
      <c r="H853" s="16"/>
    </row>
    <row r="854" spans="1:8" ht="15.75" x14ac:dyDescent="0.25">
      <c r="A854" s="9">
        <v>70457</v>
      </c>
      <c r="B854" s="17" t="s">
        <v>73</v>
      </c>
      <c r="C854" s="18">
        <v>46315</v>
      </c>
      <c r="D854" s="12">
        <v>0</v>
      </c>
      <c r="E854" s="13" t="s">
        <v>9</v>
      </c>
      <c r="F854" s="19" t="s">
        <v>31</v>
      </c>
      <c r="G854" s="20" t="s">
        <v>14</v>
      </c>
      <c r="H854" s="16"/>
    </row>
    <row r="855" spans="1:8" ht="15.75" x14ac:dyDescent="0.25">
      <c r="A855" s="9">
        <v>70456</v>
      </c>
      <c r="B855" s="17" t="s">
        <v>73</v>
      </c>
      <c r="C855" s="18">
        <v>46315</v>
      </c>
      <c r="D855" s="12">
        <v>0</v>
      </c>
      <c r="E855" s="13" t="s">
        <v>9</v>
      </c>
      <c r="F855" s="19" t="s">
        <v>31</v>
      </c>
      <c r="G855" s="20" t="s">
        <v>14</v>
      </c>
      <c r="H855" s="16"/>
    </row>
    <row r="856" spans="1:8" ht="15.75" x14ac:dyDescent="0.25">
      <c r="A856" s="9">
        <v>68923</v>
      </c>
      <c r="B856" s="17" t="s">
        <v>42</v>
      </c>
      <c r="C856" s="18">
        <v>46315</v>
      </c>
      <c r="D856" s="12">
        <v>0</v>
      </c>
      <c r="E856" s="13" t="s">
        <v>9</v>
      </c>
      <c r="F856" s="19" t="s">
        <v>31</v>
      </c>
      <c r="G856" s="20" t="s">
        <v>14</v>
      </c>
      <c r="H856" s="16"/>
    </row>
    <row r="857" spans="1:8" ht="15.75" x14ac:dyDescent="0.25">
      <c r="A857" s="9">
        <v>68793</v>
      </c>
      <c r="B857" s="17" t="s">
        <v>42</v>
      </c>
      <c r="C857" s="18">
        <v>46315</v>
      </c>
      <c r="D857" s="12">
        <v>0</v>
      </c>
      <c r="E857" s="13" t="s">
        <v>9</v>
      </c>
      <c r="F857" s="19" t="s">
        <v>31</v>
      </c>
      <c r="G857" s="20" t="s">
        <v>14</v>
      </c>
      <c r="H857" s="16"/>
    </row>
    <row r="858" spans="1:8" ht="15.75" x14ac:dyDescent="0.25">
      <c r="A858" s="9">
        <v>68470</v>
      </c>
      <c r="B858" s="17" t="s">
        <v>42</v>
      </c>
      <c r="C858" s="18">
        <v>46315</v>
      </c>
      <c r="D858" s="12">
        <v>0</v>
      </c>
      <c r="E858" s="13" t="s">
        <v>9</v>
      </c>
      <c r="F858" s="19" t="s">
        <v>31</v>
      </c>
      <c r="G858" s="20" t="s">
        <v>14</v>
      </c>
      <c r="H858" s="16"/>
    </row>
    <row r="859" spans="1:8" ht="15.75" x14ac:dyDescent="0.25">
      <c r="A859" s="9">
        <v>70315</v>
      </c>
      <c r="B859" s="17" t="s">
        <v>42</v>
      </c>
      <c r="C859" s="18">
        <v>46315</v>
      </c>
      <c r="D859" s="12">
        <v>1</v>
      </c>
      <c r="E859" s="13" t="s">
        <v>9</v>
      </c>
      <c r="F859" s="19" t="s">
        <v>31</v>
      </c>
      <c r="G859" s="20" t="s">
        <v>14</v>
      </c>
      <c r="H859" s="16" t="s">
        <v>131</v>
      </c>
    </row>
    <row r="860" spans="1:8" ht="15.75" x14ac:dyDescent="0.25">
      <c r="A860" s="9">
        <v>70367</v>
      </c>
      <c r="B860" s="17" t="s">
        <v>72</v>
      </c>
      <c r="C860" s="18">
        <v>46315</v>
      </c>
      <c r="D860" s="12">
        <v>5</v>
      </c>
      <c r="E860" s="13" t="s">
        <v>9</v>
      </c>
      <c r="F860" s="19" t="s">
        <v>31</v>
      </c>
      <c r="G860" s="20" t="s">
        <v>14</v>
      </c>
      <c r="H860" s="16" t="s">
        <v>89</v>
      </c>
    </row>
    <row r="861" spans="1:8" ht="15.75" x14ac:dyDescent="0.25">
      <c r="A861" s="9">
        <v>70369</v>
      </c>
      <c r="B861" s="17" t="s">
        <v>72</v>
      </c>
      <c r="C861" s="18">
        <v>46315</v>
      </c>
      <c r="D861" s="12">
        <v>2</v>
      </c>
      <c r="E861" s="13" t="s">
        <v>9</v>
      </c>
      <c r="F861" s="19" t="s">
        <v>31</v>
      </c>
      <c r="G861" s="20" t="s">
        <v>14</v>
      </c>
      <c r="H861" s="16" t="s">
        <v>132</v>
      </c>
    </row>
    <row r="862" spans="1:8" ht="15.75" x14ac:dyDescent="0.25">
      <c r="A862" s="9">
        <v>70381</v>
      </c>
      <c r="B862" s="17" t="s">
        <v>72</v>
      </c>
      <c r="C862" s="18">
        <v>46315</v>
      </c>
      <c r="D862" s="12">
        <v>4</v>
      </c>
      <c r="E862" s="13" t="s">
        <v>9</v>
      </c>
      <c r="F862" s="19" t="s">
        <v>31</v>
      </c>
      <c r="G862" s="20" t="s">
        <v>14</v>
      </c>
      <c r="H862" s="16" t="s">
        <v>89</v>
      </c>
    </row>
    <row r="863" spans="1:8" ht="15.75" x14ac:dyDescent="0.25">
      <c r="A863" s="9">
        <v>70371</v>
      </c>
      <c r="B863" s="17" t="s">
        <v>72</v>
      </c>
      <c r="C863" s="18">
        <v>46315</v>
      </c>
      <c r="D863" s="12">
        <v>5</v>
      </c>
      <c r="E863" s="13" t="s">
        <v>9</v>
      </c>
      <c r="F863" s="19" t="s">
        <v>31</v>
      </c>
      <c r="G863" s="20" t="s">
        <v>14</v>
      </c>
      <c r="H863" s="16" t="s">
        <v>133</v>
      </c>
    </row>
    <row r="864" spans="1:8" ht="15.75" x14ac:dyDescent="0.25">
      <c r="A864" s="9">
        <v>70380</v>
      </c>
      <c r="B864" s="17" t="s">
        <v>72</v>
      </c>
      <c r="C864" s="18">
        <v>46315</v>
      </c>
      <c r="D864" s="12">
        <v>4</v>
      </c>
      <c r="E864" s="13" t="s">
        <v>9</v>
      </c>
      <c r="F864" s="19" t="s">
        <v>31</v>
      </c>
      <c r="G864" s="20" t="s">
        <v>14</v>
      </c>
      <c r="H864" s="16" t="s">
        <v>89</v>
      </c>
    </row>
    <row r="865" spans="1:8" ht="15.75" x14ac:dyDescent="0.25">
      <c r="A865" s="9">
        <v>70239</v>
      </c>
      <c r="B865" s="17" t="s">
        <v>72</v>
      </c>
      <c r="C865" s="18">
        <v>46315</v>
      </c>
      <c r="D865" s="12">
        <v>1</v>
      </c>
      <c r="E865" s="13" t="s">
        <v>9</v>
      </c>
      <c r="F865" s="19" t="s">
        <v>31</v>
      </c>
      <c r="G865" s="20" t="s">
        <v>14</v>
      </c>
      <c r="H865" s="16" t="s">
        <v>134</v>
      </c>
    </row>
    <row r="866" spans="1:8" ht="15.75" x14ac:dyDescent="0.25">
      <c r="A866" s="9">
        <v>70090</v>
      </c>
      <c r="B866" s="17" t="s">
        <v>72</v>
      </c>
      <c r="C866" s="18">
        <v>46315</v>
      </c>
      <c r="D866" s="12">
        <v>6</v>
      </c>
      <c r="E866" s="13" t="s">
        <v>9</v>
      </c>
      <c r="F866" s="19" t="s">
        <v>31</v>
      </c>
      <c r="G866" s="20" t="s">
        <v>14</v>
      </c>
      <c r="H866" s="16" t="s">
        <v>135</v>
      </c>
    </row>
    <row r="867" spans="1:8" ht="15.75" x14ac:dyDescent="0.25">
      <c r="A867" s="9">
        <v>70276</v>
      </c>
      <c r="B867" s="17" t="s">
        <v>72</v>
      </c>
      <c r="C867" s="18">
        <v>46315</v>
      </c>
      <c r="D867" s="12">
        <v>3</v>
      </c>
      <c r="E867" s="13" t="s">
        <v>9</v>
      </c>
      <c r="F867" s="19" t="s">
        <v>31</v>
      </c>
      <c r="G867" s="20" t="s">
        <v>14</v>
      </c>
      <c r="H867" s="16" t="s">
        <v>89</v>
      </c>
    </row>
    <row r="868" spans="1:8" ht="15.75" x14ac:dyDescent="0.25">
      <c r="A868" s="9">
        <v>70274</v>
      </c>
      <c r="B868" s="17" t="s">
        <v>72</v>
      </c>
      <c r="C868" s="18">
        <v>46315</v>
      </c>
      <c r="D868" s="12">
        <v>3</v>
      </c>
      <c r="E868" s="13" t="s">
        <v>9</v>
      </c>
      <c r="F868" s="19" t="s">
        <v>31</v>
      </c>
      <c r="G868" s="20" t="s">
        <v>14</v>
      </c>
      <c r="H868" s="16" t="s">
        <v>89</v>
      </c>
    </row>
    <row r="869" spans="1:8" ht="15.75" x14ac:dyDescent="0.25">
      <c r="A869" s="9">
        <v>70273</v>
      </c>
      <c r="B869" s="17" t="s">
        <v>72</v>
      </c>
      <c r="C869" s="18">
        <v>46315</v>
      </c>
      <c r="D869" s="12">
        <v>4</v>
      </c>
      <c r="E869" s="13" t="s">
        <v>9</v>
      </c>
      <c r="F869" s="19" t="s">
        <v>31</v>
      </c>
      <c r="G869" s="20" t="s">
        <v>14</v>
      </c>
      <c r="H869" s="16" t="s">
        <v>89</v>
      </c>
    </row>
    <row r="870" spans="1:8" ht="15.75" x14ac:dyDescent="0.25">
      <c r="A870" s="9">
        <v>70271</v>
      </c>
      <c r="B870" s="17" t="s">
        <v>72</v>
      </c>
      <c r="C870" s="18">
        <v>46315</v>
      </c>
      <c r="D870" s="12">
        <v>2</v>
      </c>
      <c r="E870" s="13" t="s">
        <v>9</v>
      </c>
      <c r="F870" s="19" t="s">
        <v>31</v>
      </c>
      <c r="G870" s="20" t="s">
        <v>14</v>
      </c>
      <c r="H870" s="16" t="s">
        <v>136</v>
      </c>
    </row>
    <row r="871" spans="1:8" ht="15.75" x14ac:dyDescent="0.25">
      <c r="A871" s="9">
        <v>70268</v>
      </c>
      <c r="B871" s="17" t="s">
        <v>72</v>
      </c>
      <c r="C871" s="18">
        <v>46315</v>
      </c>
      <c r="D871" s="12">
        <v>4</v>
      </c>
      <c r="E871" s="13" t="s">
        <v>9</v>
      </c>
      <c r="F871" s="19" t="s">
        <v>31</v>
      </c>
      <c r="G871" s="20" t="s">
        <v>14</v>
      </c>
      <c r="H871" s="16" t="s">
        <v>89</v>
      </c>
    </row>
    <row r="872" spans="1:8" ht="15.75" x14ac:dyDescent="0.25">
      <c r="A872" s="9">
        <v>70230</v>
      </c>
      <c r="B872" s="17" t="s">
        <v>72</v>
      </c>
      <c r="C872" s="18">
        <v>46315</v>
      </c>
      <c r="D872" s="12">
        <v>4</v>
      </c>
      <c r="E872" s="13" t="s">
        <v>9</v>
      </c>
      <c r="F872" s="19" t="s">
        <v>31</v>
      </c>
      <c r="G872" s="20" t="s">
        <v>14</v>
      </c>
      <c r="H872" s="16" t="s">
        <v>137</v>
      </c>
    </row>
    <row r="873" spans="1:8" ht="15.75" x14ac:dyDescent="0.25">
      <c r="A873" s="9">
        <v>70320</v>
      </c>
      <c r="B873" s="17" t="s">
        <v>72</v>
      </c>
      <c r="C873" s="18">
        <v>46315</v>
      </c>
      <c r="D873" s="12">
        <v>2</v>
      </c>
      <c r="E873" s="13" t="s">
        <v>9</v>
      </c>
      <c r="F873" s="19" t="s">
        <v>31</v>
      </c>
      <c r="G873" s="20" t="s">
        <v>14</v>
      </c>
      <c r="H873" s="16" t="s">
        <v>138</v>
      </c>
    </row>
    <row r="874" spans="1:8" ht="15.75" x14ac:dyDescent="0.25">
      <c r="A874" s="9">
        <v>69389</v>
      </c>
      <c r="B874" s="17" t="s">
        <v>42</v>
      </c>
      <c r="C874" s="18">
        <v>46315</v>
      </c>
      <c r="D874" s="12">
        <v>1</v>
      </c>
      <c r="E874" s="13" t="s">
        <v>9</v>
      </c>
      <c r="F874" s="19" t="s">
        <v>31</v>
      </c>
      <c r="G874" s="20" t="s">
        <v>14</v>
      </c>
      <c r="H874" s="16" t="s">
        <v>84</v>
      </c>
    </row>
    <row r="875" spans="1:8" ht="15.75" x14ac:dyDescent="0.25">
      <c r="A875" s="27">
        <v>69704</v>
      </c>
      <c r="B875" s="17" t="s">
        <v>34</v>
      </c>
      <c r="C875" s="18">
        <v>46315</v>
      </c>
      <c r="D875" s="12">
        <v>1</v>
      </c>
      <c r="E875" s="13" t="s">
        <v>9</v>
      </c>
      <c r="F875" s="19" t="s">
        <v>31</v>
      </c>
      <c r="G875" s="20" t="s">
        <v>14</v>
      </c>
      <c r="H875" s="16"/>
    </row>
    <row r="876" spans="1:8" ht="15.75" x14ac:dyDescent="0.25">
      <c r="A876" s="9">
        <v>69860</v>
      </c>
      <c r="B876" s="17" t="s">
        <v>73</v>
      </c>
      <c r="C876" s="18">
        <v>46315</v>
      </c>
      <c r="D876" s="12">
        <v>1</v>
      </c>
      <c r="E876" s="13" t="s">
        <v>9</v>
      </c>
      <c r="F876" s="19" t="s">
        <v>31</v>
      </c>
      <c r="G876" s="20" t="s">
        <v>14</v>
      </c>
      <c r="H876" s="16" t="s">
        <v>120</v>
      </c>
    </row>
    <row r="877" spans="1:8" ht="15.75" x14ac:dyDescent="0.25">
      <c r="A877" s="9">
        <v>68823</v>
      </c>
      <c r="B877" s="17" t="s">
        <v>73</v>
      </c>
      <c r="C877" s="18">
        <v>46315</v>
      </c>
      <c r="D877" s="12">
        <v>1</v>
      </c>
      <c r="E877" s="13" t="s">
        <v>9</v>
      </c>
      <c r="F877" s="19" t="s">
        <v>31</v>
      </c>
      <c r="G877" s="20" t="s">
        <v>14</v>
      </c>
      <c r="H877" s="16"/>
    </row>
    <row r="878" spans="1:8" ht="15.75" x14ac:dyDescent="0.25">
      <c r="A878" s="9">
        <v>70317</v>
      </c>
      <c r="B878" s="17" t="s">
        <v>73</v>
      </c>
      <c r="C878" s="18">
        <v>46315</v>
      </c>
      <c r="D878" s="12">
        <v>1</v>
      </c>
      <c r="E878" s="13" t="s">
        <v>9</v>
      </c>
      <c r="F878" s="19" t="s">
        <v>31</v>
      </c>
      <c r="G878" s="20" t="s">
        <v>14</v>
      </c>
      <c r="H878" s="16" t="s">
        <v>81</v>
      </c>
    </row>
    <row r="879" spans="1:8" ht="15.75" x14ac:dyDescent="0.25">
      <c r="A879" s="27">
        <v>69571</v>
      </c>
      <c r="B879" s="17" t="s">
        <v>73</v>
      </c>
      <c r="C879" s="18">
        <v>46315</v>
      </c>
      <c r="D879" s="12">
        <v>1</v>
      </c>
      <c r="E879" s="13" t="s">
        <v>9</v>
      </c>
      <c r="F879" s="19" t="s">
        <v>31</v>
      </c>
      <c r="G879" s="20" t="s">
        <v>14</v>
      </c>
      <c r="H879" s="16"/>
    </row>
    <row r="880" spans="1:8" ht="15.75" x14ac:dyDescent="0.25">
      <c r="A880" s="27">
        <v>69738</v>
      </c>
      <c r="B880" s="17" t="s">
        <v>34</v>
      </c>
      <c r="C880" s="18">
        <v>46315</v>
      </c>
      <c r="D880" s="12">
        <v>5</v>
      </c>
      <c r="E880" s="13" t="s">
        <v>9</v>
      </c>
      <c r="F880" s="19" t="s">
        <v>31</v>
      </c>
      <c r="G880" s="21" t="s">
        <v>11</v>
      </c>
      <c r="H880" s="16" t="s">
        <v>139</v>
      </c>
    </row>
    <row r="881" spans="1:8" ht="15.75" x14ac:dyDescent="0.25">
      <c r="A881" s="9">
        <v>69349</v>
      </c>
      <c r="B881" s="17" t="s">
        <v>44</v>
      </c>
      <c r="C881" s="18">
        <v>46315</v>
      </c>
      <c r="D881" s="12">
        <v>4</v>
      </c>
      <c r="E881" s="13" t="s">
        <v>9</v>
      </c>
      <c r="F881" s="19" t="s">
        <v>31</v>
      </c>
      <c r="G881" s="21" t="s">
        <v>11</v>
      </c>
      <c r="H881" s="16"/>
    </row>
    <row r="882" spans="1:8" ht="15.75" x14ac:dyDescent="0.25">
      <c r="A882" s="9">
        <v>70234</v>
      </c>
      <c r="B882" s="17" t="s">
        <v>44</v>
      </c>
      <c r="C882" s="18">
        <v>46315</v>
      </c>
      <c r="D882" s="12">
        <v>9</v>
      </c>
      <c r="E882" s="13" t="s">
        <v>9</v>
      </c>
      <c r="F882" s="19" t="s">
        <v>31</v>
      </c>
      <c r="G882" s="20" t="s">
        <v>14</v>
      </c>
      <c r="H882" s="16" t="s">
        <v>137</v>
      </c>
    </row>
    <row r="883" spans="1:8" ht="15.75" x14ac:dyDescent="0.25">
      <c r="A883" s="9">
        <v>69298</v>
      </c>
      <c r="B883" s="17" t="s">
        <v>44</v>
      </c>
      <c r="C883" s="18">
        <v>46315</v>
      </c>
      <c r="D883" s="12">
        <v>10</v>
      </c>
      <c r="E883" s="13" t="s">
        <v>9</v>
      </c>
      <c r="F883" s="19" t="s">
        <v>31</v>
      </c>
      <c r="G883" s="20" t="s">
        <v>14</v>
      </c>
      <c r="H883" s="16"/>
    </row>
    <row r="884" spans="1:8" ht="15.75" x14ac:dyDescent="0.25">
      <c r="A884" s="9">
        <v>70452</v>
      </c>
      <c r="B884" s="17" t="s">
        <v>73</v>
      </c>
      <c r="C884" s="18">
        <v>46315</v>
      </c>
      <c r="D884" s="12">
        <v>2</v>
      </c>
      <c r="E884" s="13" t="s">
        <v>9</v>
      </c>
      <c r="F884" s="19" t="s">
        <v>31</v>
      </c>
      <c r="G884" s="21" t="s">
        <v>11</v>
      </c>
      <c r="H884" s="16" t="s">
        <v>76</v>
      </c>
    </row>
    <row r="885" spans="1:8" ht="15.75" x14ac:dyDescent="0.25">
      <c r="A885" s="9">
        <v>70464</v>
      </c>
      <c r="B885" s="17" t="s">
        <v>34</v>
      </c>
      <c r="C885" s="18">
        <v>46315</v>
      </c>
      <c r="D885" s="12">
        <v>1</v>
      </c>
      <c r="E885" s="13" t="s">
        <v>48</v>
      </c>
      <c r="F885" s="19" t="s">
        <v>31</v>
      </c>
      <c r="G885" s="21" t="s">
        <v>11</v>
      </c>
      <c r="H885" s="16" t="s">
        <v>140</v>
      </c>
    </row>
    <row r="886" spans="1:8" ht="15.75" x14ac:dyDescent="0.25">
      <c r="A886" s="9">
        <v>70309</v>
      </c>
      <c r="B886" s="17" t="s">
        <v>73</v>
      </c>
      <c r="C886" s="18">
        <v>46315</v>
      </c>
      <c r="D886" s="12">
        <v>0</v>
      </c>
      <c r="E886" s="13" t="s">
        <v>9</v>
      </c>
      <c r="F886" s="19" t="s">
        <v>31</v>
      </c>
      <c r="G886" s="20" t="s">
        <v>14</v>
      </c>
      <c r="H886" s="16"/>
    </row>
    <row r="887" spans="1:8" ht="15.75" x14ac:dyDescent="0.25">
      <c r="A887" s="9">
        <v>70364</v>
      </c>
      <c r="B887" s="17" t="s">
        <v>73</v>
      </c>
      <c r="C887" s="18">
        <v>46315</v>
      </c>
      <c r="D887" s="12">
        <v>4</v>
      </c>
      <c r="E887" s="13" t="s">
        <v>9</v>
      </c>
      <c r="F887" s="19" t="s">
        <v>31</v>
      </c>
      <c r="G887" s="20" t="s">
        <v>14</v>
      </c>
      <c r="H887" s="16" t="s">
        <v>129</v>
      </c>
    </row>
    <row r="888" spans="1:8" ht="15.75" x14ac:dyDescent="0.25">
      <c r="A888" s="9">
        <v>70447</v>
      </c>
      <c r="B888" s="17" t="s">
        <v>74</v>
      </c>
      <c r="C888" s="18">
        <v>46315</v>
      </c>
      <c r="D888" s="12">
        <v>2</v>
      </c>
      <c r="E888" s="13" t="s">
        <v>9</v>
      </c>
      <c r="F888" s="19" t="s">
        <v>31</v>
      </c>
      <c r="G888" s="21" t="s">
        <v>11</v>
      </c>
      <c r="H888" s="16" t="s">
        <v>141</v>
      </c>
    </row>
    <row r="889" spans="1:8" ht="15.75" x14ac:dyDescent="0.25">
      <c r="A889" s="9">
        <v>70391</v>
      </c>
      <c r="B889" s="17" t="s">
        <v>74</v>
      </c>
      <c r="C889" s="18">
        <v>46315</v>
      </c>
      <c r="D889" s="12">
        <v>1</v>
      </c>
      <c r="E889" s="13" t="s">
        <v>9</v>
      </c>
      <c r="F889" s="19" t="s">
        <v>31</v>
      </c>
      <c r="G889" s="21" t="s">
        <v>11</v>
      </c>
      <c r="H889" s="16" t="s">
        <v>142</v>
      </c>
    </row>
    <row r="890" spans="1:8" ht="15.75" x14ac:dyDescent="0.25">
      <c r="A890" s="9">
        <v>70389</v>
      </c>
      <c r="B890" s="17" t="s">
        <v>74</v>
      </c>
      <c r="C890" s="18">
        <v>46315</v>
      </c>
      <c r="D890" s="12">
        <v>0</v>
      </c>
      <c r="E890" s="13" t="s">
        <v>9</v>
      </c>
      <c r="F890" s="19" t="s">
        <v>31</v>
      </c>
      <c r="G890" s="20" t="s">
        <v>14</v>
      </c>
      <c r="H890" s="16"/>
    </row>
    <row r="891" spans="1:8" ht="15.75" x14ac:dyDescent="0.25">
      <c r="A891" s="9">
        <v>70386</v>
      </c>
      <c r="B891" s="17" t="s">
        <v>74</v>
      </c>
      <c r="C891" s="18">
        <v>46315</v>
      </c>
      <c r="D891" s="12">
        <v>0</v>
      </c>
      <c r="E891" s="13" t="s">
        <v>33</v>
      </c>
      <c r="F891" s="19" t="s">
        <v>31</v>
      </c>
      <c r="G891" s="20" t="s">
        <v>14</v>
      </c>
      <c r="H891" s="16"/>
    </row>
    <row r="892" spans="1:8" ht="15.75" x14ac:dyDescent="0.25">
      <c r="A892" s="9">
        <v>70280</v>
      </c>
      <c r="B892" s="17" t="s">
        <v>74</v>
      </c>
      <c r="C892" s="18">
        <v>46315</v>
      </c>
      <c r="D892" s="12">
        <v>3</v>
      </c>
      <c r="E892" s="13" t="s">
        <v>35</v>
      </c>
      <c r="F892" s="19" t="s">
        <v>31</v>
      </c>
      <c r="G892" s="20" t="s">
        <v>14</v>
      </c>
      <c r="H892" s="16" t="s">
        <v>108</v>
      </c>
    </row>
    <row r="893" spans="1:8" ht="15.75" x14ac:dyDescent="0.25">
      <c r="A893" s="9">
        <v>70384</v>
      </c>
      <c r="B893" s="17" t="s">
        <v>74</v>
      </c>
      <c r="C893" s="18">
        <v>46315</v>
      </c>
      <c r="D893" s="12">
        <v>4</v>
      </c>
      <c r="E893" s="13" t="s">
        <v>35</v>
      </c>
      <c r="F893" s="19" t="s">
        <v>31</v>
      </c>
      <c r="G893" s="20" t="s">
        <v>14</v>
      </c>
      <c r="H893" s="16" t="s">
        <v>99</v>
      </c>
    </row>
    <row r="894" spans="1:8" ht="15.75" x14ac:dyDescent="0.25">
      <c r="A894" s="9">
        <v>70306</v>
      </c>
      <c r="B894" s="17" t="s">
        <v>74</v>
      </c>
      <c r="C894" s="18">
        <v>46315</v>
      </c>
      <c r="D894" s="12">
        <v>4</v>
      </c>
      <c r="E894" s="13" t="s">
        <v>9</v>
      </c>
      <c r="F894" s="19" t="s">
        <v>31</v>
      </c>
      <c r="G894" s="21" t="s">
        <v>11</v>
      </c>
      <c r="H894" s="16" t="s">
        <v>143</v>
      </c>
    </row>
    <row r="895" spans="1:8" ht="15.75" x14ac:dyDescent="0.25">
      <c r="A895" s="9">
        <v>70281</v>
      </c>
      <c r="B895" s="17" t="s">
        <v>74</v>
      </c>
      <c r="C895" s="18">
        <v>46315</v>
      </c>
      <c r="D895" s="12">
        <v>4</v>
      </c>
      <c r="E895" s="13" t="s">
        <v>35</v>
      </c>
      <c r="F895" s="19" t="s">
        <v>31</v>
      </c>
      <c r="G895" s="20" t="s">
        <v>14</v>
      </c>
      <c r="H895" s="16" t="s">
        <v>144</v>
      </c>
    </row>
    <row r="896" spans="1:8" ht="15.75" x14ac:dyDescent="0.25">
      <c r="A896" s="9">
        <v>69980</v>
      </c>
      <c r="B896" s="17" t="s">
        <v>74</v>
      </c>
      <c r="C896" s="18">
        <v>46315</v>
      </c>
      <c r="D896" s="12">
        <v>2</v>
      </c>
      <c r="E896" s="13" t="s">
        <v>9</v>
      </c>
      <c r="F896" s="19" t="s">
        <v>31</v>
      </c>
      <c r="G896" s="20" t="s">
        <v>14</v>
      </c>
      <c r="H896" s="16" t="s">
        <v>111</v>
      </c>
    </row>
    <row r="897" spans="1:8" ht="15.75" x14ac:dyDescent="0.25">
      <c r="A897" s="9">
        <v>70151</v>
      </c>
      <c r="B897" s="17" t="s">
        <v>42</v>
      </c>
      <c r="C897" s="18">
        <v>46315</v>
      </c>
      <c r="D897" s="12">
        <v>3</v>
      </c>
      <c r="E897" s="13" t="s">
        <v>9</v>
      </c>
      <c r="F897" s="19" t="s">
        <v>31</v>
      </c>
      <c r="G897" s="28"/>
      <c r="H897" s="16" t="s">
        <v>145</v>
      </c>
    </row>
    <row r="898" spans="1:8" ht="15.75" x14ac:dyDescent="0.25">
      <c r="A898" s="9">
        <v>70185</v>
      </c>
      <c r="B898" s="17" t="s">
        <v>42</v>
      </c>
      <c r="C898" s="18">
        <v>46315</v>
      </c>
      <c r="D898" s="12">
        <v>13</v>
      </c>
      <c r="E898" s="13" t="s">
        <v>9</v>
      </c>
      <c r="F898" s="19" t="s">
        <v>31</v>
      </c>
      <c r="G898" s="28"/>
      <c r="H898" s="16" t="s">
        <v>146</v>
      </c>
    </row>
    <row r="899" spans="1:8" ht="15.75" x14ac:dyDescent="0.25">
      <c r="A899" s="9">
        <v>69838</v>
      </c>
      <c r="B899" s="17" t="s">
        <v>17</v>
      </c>
      <c r="C899" s="18">
        <v>46315</v>
      </c>
      <c r="D899" s="12">
        <v>0</v>
      </c>
      <c r="E899" s="13" t="s">
        <v>9</v>
      </c>
      <c r="F899" s="19" t="s">
        <v>31</v>
      </c>
      <c r="G899" s="28"/>
      <c r="H899" s="16"/>
    </row>
    <row r="900" spans="1:8" ht="15.75" x14ac:dyDescent="0.25">
      <c r="A900" s="9">
        <v>69823</v>
      </c>
      <c r="B900" s="17" t="s">
        <v>17</v>
      </c>
      <c r="C900" s="18">
        <v>46315</v>
      </c>
      <c r="D900" s="12">
        <v>0</v>
      </c>
      <c r="E900" s="13" t="s">
        <v>9</v>
      </c>
      <c r="F900" s="19" t="s">
        <v>31</v>
      </c>
      <c r="G900" s="28"/>
      <c r="H900" s="16"/>
    </row>
    <row r="901" spans="1:8" ht="15.75" x14ac:dyDescent="0.25">
      <c r="A901" s="9">
        <v>70259</v>
      </c>
      <c r="B901" s="17" t="s">
        <v>17</v>
      </c>
      <c r="C901" s="18">
        <v>46315</v>
      </c>
      <c r="D901" s="12">
        <v>1</v>
      </c>
      <c r="E901" s="13" t="s">
        <v>9</v>
      </c>
      <c r="F901" s="19" t="s">
        <v>31</v>
      </c>
      <c r="G901" s="28"/>
      <c r="H901" s="16" t="s">
        <v>147</v>
      </c>
    </row>
    <row r="902" spans="1:8" ht="15.75" x14ac:dyDescent="0.25">
      <c r="A902" s="9">
        <v>70261</v>
      </c>
      <c r="B902" s="17" t="s">
        <v>17</v>
      </c>
      <c r="C902" s="18">
        <v>46315</v>
      </c>
      <c r="D902" s="12">
        <v>3</v>
      </c>
      <c r="E902" s="13" t="s">
        <v>9</v>
      </c>
      <c r="F902" s="19" t="s">
        <v>31</v>
      </c>
      <c r="G902" s="28"/>
      <c r="H902" s="16" t="s">
        <v>147</v>
      </c>
    </row>
    <row r="903" spans="1:8" ht="15.75" x14ac:dyDescent="0.25">
      <c r="A903" s="9">
        <v>69816</v>
      </c>
      <c r="B903" s="17" t="s">
        <v>16</v>
      </c>
      <c r="C903" s="18">
        <v>46315</v>
      </c>
      <c r="D903" s="12">
        <v>4</v>
      </c>
      <c r="E903" s="13" t="s">
        <v>9</v>
      </c>
      <c r="F903" s="19" t="s">
        <v>31</v>
      </c>
      <c r="G903" s="28"/>
      <c r="H903" s="16" t="s">
        <v>148</v>
      </c>
    </row>
    <row r="904" spans="1:8" ht="15.75" x14ac:dyDescent="0.25">
      <c r="A904" s="9">
        <v>70377</v>
      </c>
      <c r="B904" s="17" t="s">
        <v>16</v>
      </c>
      <c r="C904" s="18">
        <v>46315</v>
      </c>
      <c r="D904" s="12">
        <v>0</v>
      </c>
      <c r="E904" s="13" t="s">
        <v>9</v>
      </c>
      <c r="F904" s="19" t="s">
        <v>31</v>
      </c>
      <c r="G904" s="28"/>
      <c r="H904" s="16"/>
    </row>
    <row r="905" spans="1:8" ht="15.75" x14ac:dyDescent="0.25">
      <c r="A905" s="9">
        <v>68224</v>
      </c>
      <c r="B905" s="17" t="s">
        <v>8</v>
      </c>
      <c r="C905" s="18">
        <v>46315</v>
      </c>
      <c r="D905" s="12">
        <v>0</v>
      </c>
      <c r="E905" s="13" t="s">
        <v>9</v>
      </c>
      <c r="F905" s="19" t="s">
        <v>31</v>
      </c>
      <c r="G905" s="28"/>
      <c r="H905" s="16"/>
    </row>
    <row r="906" spans="1:8" ht="15.75" x14ac:dyDescent="0.25">
      <c r="A906" s="9">
        <v>70229</v>
      </c>
      <c r="B906" s="17" t="s">
        <v>8</v>
      </c>
      <c r="C906" s="18">
        <v>46315</v>
      </c>
      <c r="D906" s="12">
        <v>2</v>
      </c>
      <c r="E906" s="13" t="s">
        <v>9</v>
      </c>
      <c r="F906" s="19" t="s">
        <v>31</v>
      </c>
      <c r="G906" s="28"/>
      <c r="H906" s="16" t="s">
        <v>149</v>
      </c>
    </row>
    <row r="907" spans="1:8" ht="15.75" x14ac:dyDescent="0.25">
      <c r="A907" s="9">
        <v>68361</v>
      </c>
      <c r="B907" s="17" t="s">
        <v>8</v>
      </c>
      <c r="C907" s="18">
        <v>46315</v>
      </c>
      <c r="D907" s="12">
        <v>0</v>
      </c>
      <c r="E907" s="13" t="s">
        <v>9</v>
      </c>
      <c r="F907" s="19" t="s">
        <v>31</v>
      </c>
      <c r="G907" s="28"/>
      <c r="H907" s="16"/>
    </row>
    <row r="908" spans="1:8" ht="15.75" x14ac:dyDescent="0.25">
      <c r="A908" s="9">
        <v>70188</v>
      </c>
      <c r="B908" s="17" t="s">
        <v>8</v>
      </c>
      <c r="C908" s="18">
        <v>46315</v>
      </c>
      <c r="D908" s="12">
        <v>1</v>
      </c>
      <c r="E908" s="13" t="s">
        <v>9</v>
      </c>
      <c r="F908" s="19" t="s">
        <v>31</v>
      </c>
      <c r="G908" s="28"/>
      <c r="H908" s="16" t="s">
        <v>90</v>
      </c>
    </row>
    <row r="909" spans="1:8" ht="15.75" x14ac:dyDescent="0.25">
      <c r="A909" s="9">
        <v>69893</v>
      </c>
      <c r="B909" s="17" t="s">
        <v>73</v>
      </c>
      <c r="C909" s="18">
        <v>46315</v>
      </c>
      <c r="D909" s="12">
        <v>3</v>
      </c>
      <c r="E909" s="13" t="s">
        <v>9</v>
      </c>
      <c r="F909" s="19" t="s">
        <v>31</v>
      </c>
      <c r="G909" s="28"/>
      <c r="H909" s="16" t="s">
        <v>83</v>
      </c>
    </row>
    <row r="910" spans="1:8" ht="15.75" x14ac:dyDescent="0.25">
      <c r="A910" s="9">
        <v>70220</v>
      </c>
      <c r="B910" s="17" t="s">
        <v>73</v>
      </c>
      <c r="C910" s="18">
        <v>46315</v>
      </c>
      <c r="D910" s="12">
        <v>0</v>
      </c>
      <c r="E910" s="13" t="s">
        <v>9</v>
      </c>
      <c r="F910" s="19" t="s">
        <v>31</v>
      </c>
      <c r="G910" s="28"/>
      <c r="H910" s="16"/>
    </row>
    <row r="911" spans="1:8" ht="15.75" x14ac:dyDescent="0.25">
      <c r="A911" s="9">
        <v>70182</v>
      </c>
      <c r="B911" s="17" t="s">
        <v>73</v>
      </c>
      <c r="C911" s="18">
        <v>46316</v>
      </c>
      <c r="D911" s="12">
        <v>14</v>
      </c>
      <c r="E911" s="13" t="s">
        <v>9</v>
      </c>
      <c r="F911" s="19" t="s">
        <v>31</v>
      </c>
      <c r="G911" s="20" t="s">
        <v>14</v>
      </c>
      <c r="H911" s="16" t="s">
        <v>148</v>
      </c>
    </row>
    <row r="912" spans="1:8" ht="15.75" x14ac:dyDescent="0.25">
      <c r="A912" s="9">
        <v>70186</v>
      </c>
      <c r="B912" s="17" t="s">
        <v>73</v>
      </c>
      <c r="C912" s="18">
        <v>46316</v>
      </c>
      <c r="D912" s="12">
        <v>5</v>
      </c>
      <c r="E912" s="13" t="s">
        <v>9</v>
      </c>
      <c r="F912" s="19" t="s">
        <v>31</v>
      </c>
      <c r="G912" s="20" t="s">
        <v>14</v>
      </c>
      <c r="H912" s="16" t="s">
        <v>148</v>
      </c>
    </row>
    <row r="913" spans="1:8" ht="15.75" x14ac:dyDescent="0.25">
      <c r="A913" s="9">
        <v>68654</v>
      </c>
      <c r="B913" s="17" t="s">
        <v>42</v>
      </c>
      <c r="C913" s="18">
        <v>46316</v>
      </c>
      <c r="D913" s="12">
        <v>0</v>
      </c>
      <c r="E913" s="13" t="s">
        <v>9</v>
      </c>
      <c r="F913" s="19" t="s">
        <v>31</v>
      </c>
      <c r="G913" s="21" t="s">
        <v>11</v>
      </c>
      <c r="H913" s="16"/>
    </row>
    <row r="914" spans="1:8" ht="15.75" x14ac:dyDescent="0.25">
      <c r="A914" s="9">
        <v>68642</v>
      </c>
      <c r="B914" s="17" t="s">
        <v>42</v>
      </c>
      <c r="C914" s="18">
        <v>46316</v>
      </c>
      <c r="D914" s="12">
        <v>0</v>
      </c>
      <c r="E914" s="13" t="s">
        <v>9</v>
      </c>
      <c r="F914" s="19" t="s">
        <v>31</v>
      </c>
      <c r="G914" s="21" t="s">
        <v>11</v>
      </c>
      <c r="H914" s="16"/>
    </row>
    <row r="915" spans="1:8" ht="15.75" x14ac:dyDescent="0.25">
      <c r="A915" s="9">
        <v>70233</v>
      </c>
      <c r="B915" s="17" t="s">
        <v>17</v>
      </c>
      <c r="C915" s="18">
        <v>46316</v>
      </c>
      <c r="D915" s="12">
        <v>1</v>
      </c>
      <c r="E915" s="13" t="s">
        <v>9</v>
      </c>
      <c r="F915" s="19" t="s">
        <v>31</v>
      </c>
      <c r="G915" s="21" t="s">
        <v>11</v>
      </c>
      <c r="H915" s="16" t="s">
        <v>150</v>
      </c>
    </row>
    <row r="916" spans="1:8" ht="15.75" x14ac:dyDescent="0.25">
      <c r="A916" s="9">
        <v>70232</v>
      </c>
      <c r="B916" s="17" t="s">
        <v>17</v>
      </c>
      <c r="C916" s="18">
        <v>46316</v>
      </c>
      <c r="D916" s="12">
        <v>2</v>
      </c>
      <c r="E916" s="13" t="s">
        <v>9</v>
      </c>
      <c r="F916" s="19" t="s">
        <v>31</v>
      </c>
      <c r="G916" s="21" t="s">
        <v>11</v>
      </c>
      <c r="H916" s="16" t="s">
        <v>150</v>
      </c>
    </row>
    <row r="917" spans="1:8" ht="15.75" x14ac:dyDescent="0.25">
      <c r="A917" s="27">
        <v>69388</v>
      </c>
      <c r="B917" s="17" t="s">
        <v>69</v>
      </c>
      <c r="C917" s="18">
        <v>46316</v>
      </c>
      <c r="D917" s="12">
        <v>6</v>
      </c>
      <c r="E917" s="13" t="s">
        <v>9</v>
      </c>
      <c r="F917" s="19" t="s">
        <v>31</v>
      </c>
      <c r="G917" s="21" t="s">
        <v>11</v>
      </c>
      <c r="H917" s="16" t="s">
        <v>148</v>
      </c>
    </row>
    <row r="918" spans="1:8" ht="15.75" x14ac:dyDescent="0.25">
      <c r="A918" s="27">
        <v>69798</v>
      </c>
      <c r="B918" s="17" t="s">
        <v>16</v>
      </c>
      <c r="C918" s="18">
        <v>46316</v>
      </c>
      <c r="D918" s="12">
        <v>9</v>
      </c>
      <c r="E918" s="13" t="s">
        <v>9</v>
      </c>
      <c r="F918" s="19" t="s">
        <v>31</v>
      </c>
      <c r="G918" s="21" t="s">
        <v>11</v>
      </c>
      <c r="H918" s="16" t="s">
        <v>148</v>
      </c>
    </row>
    <row r="919" spans="1:8" ht="15.75" x14ac:dyDescent="0.25">
      <c r="A919" s="9">
        <v>69799</v>
      </c>
      <c r="B919" s="17" t="s">
        <v>43</v>
      </c>
      <c r="C919" s="18">
        <v>46316</v>
      </c>
      <c r="D919" s="12">
        <v>2</v>
      </c>
      <c r="E919" s="13" t="s">
        <v>9</v>
      </c>
      <c r="F919" s="19" t="s">
        <v>31</v>
      </c>
      <c r="G919" s="20" t="s">
        <v>14</v>
      </c>
      <c r="H919" s="16" t="s">
        <v>148</v>
      </c>
    </row>
    <row r="920" spans="1:8" ht="15.75" x14ac:dyDescent="0.25">
      <c r="A920" s="9">
        <v>69819</v>
      </c>
      <c r="B920" s="17" t="s">
        <v>34</v>
      </c>
      <c r="C920" s="18">
        <v>46316</v>
      </c>
      <c r="D920" s="12">
        <v>14</v>
      </c>
      <c r="E920" s="13" t="s">
        <v>9</v>
      </c>
      <c r="F920" s="19" t="s">
        <v>31</v>
      </c>
      <c r="G920" s="20" t="s">
        <v>14</v>
      </c>
      <c r="H920" s="16" t="s">
        <v>148</v>
      </c>
    </row>
    <row r="921" spans="1:8" ht="15.75" x14ac:dyDescent="0.25">
      <c r="A921" s="9">
        <v>69817</v>
      </c>
      <c r="B921" s="17" t="s">
        <v>72</v>
      </c>
      <c r="C921" s="18">
        <v>46316</v>
      </c>
      <c r="D921" s="12">
        <v>10</v>
      </c>
      <c r="E921" s="13" t="s">
        <v>9</v>
      </c>
      <c r="F921" s="19" t="s">
        <v>31</v>
      </c>
      <c r="G921" s="20" t="s">
        <v>14</v>
      </c>
      <c r="H921" s="16" t="s">
        <v>148</v>
      </c>
    </row>
    <row r="922" spans="1:8" ht="15.75" x14ac:dyDescent="0.25">
      <c r="A922" s="9">
        <v>70180</v>
      </c>
      <c r="B922" s="17" t="s">
        <v>43</v>
      </c>
      <c r="C922" s="18">
        <v>46316</v>
      </c>
      <c r="D922" s="12">
        <v>21</v>
      </c>
      <c r="E922" s="13" t="s">
        <v>9</v>
      </c>
      <c r="F922" s="19" t="s">
        <v>31</v>
      </c>
      <c r="G922" s="21" t="s">
        <v>11</v>
      </c>
      <c r="H922" s="16" t="s">
        <v>151</v>
      </c>
    </row>
    <row r="923" spans="1:8" ht="15.75" x14ac:dyDescent="0.25">
      <c r="A923" s="27">
        <v>70312</v>
      </c>
      <c r="B923" s="17" t="s">
        <v>43</v>
      </c>
      <c r="C923" s="18">
        <v>46316</v>
      </c>
      <c r="D923" s="12">
        <v>16</v>
      </c>
      <c r="E923" s="13" t="s">
        <v>9</v>
      </c>
      <c r="F923" s="19" t="s">
        <v>31</v>
      </c>
      <c r="G923" s="21" t="s">
        <v>11</v>
      </c>
      <c r="H923" s="16" t="s">
        <v>119</v>
      </c>
    </row>
    <row r="924" spans="1:8" ht="15.75" x14ac:dyDescent="0.25">
      <c r="A924" s="27">
        <v>69930</v>
      </c>
      <c r="B924" s="17" t="s">
        <v>42</v>
      </c>
      <c r="C924" s="18">
        <v>46316</v>
      </c>
      <c r="D924" s="12">
        <v>1</v>
      </c>
      <c r="E924" s="13" t="s">
        <v>9</v>
      </c>
      <c r="F924" s="19" t="s">
        <v>31</v>
      </c>
      <c r="G924" s="21" t="s">
        <v>11</v>
      </c>
      <c r="H924" s="16" t="s">
        <v>138</v>
      </c>
    </row>
    <row r="925" spans="1:8" ht="15.75" x14ac:dyDescent="0.25">
      <c r="A925" s="9">
        <v>69418</v>
      </c>
      <c r="B925" s="17" t="s">
        <v>69</v>
      </c>
      <c r="C925" s="18">
        <v>46316</v>
      </c>
      <c r="D925" s="12">
        <v>0</v>
      </c>
      <c r="E925" s="13" t="s">
        <v>9</v>
      </c>
      <c r="F925" s="19" t="s">
        <v>31</v>
      </c>
      <c r="G925" s="20" t="s">
        <v>14</v>
      </c>
      <c r="H925" s="16"/>
    </row>
    <row r="926" spans="1:8" ht="15.75" x14ac:dyDescent="0.25">
      <c r="A926" s="9">
        <v>68156</v>
      </c>
      <c r="B926" s="17" t="s">
        <v>16</v>
      </c>
      <c r="C926" s="18">
        <v>46316</v>
      </c>
      <c r="D926" s="12">
        <v>0</v>
      </c>
      <c r="E926" s="13" t="s">
        <v>9</v>
      </c>
      <c r="F926" s="19" t="s">
        <v>31</v>
      </c>
      <c r="G926" s="20" t="s">
        <v>14</v>
      </c>
      <c r="H926" s="16"/>
    </row>
    <row r="927" spans="1:8" ht="15.75" x14ac:dyDescent="0.25">
      <c r="A927" s="9">
        <v>66413</v>
      </c>
      <c r="B927" s="17" t="s">
        <v>16</v>
      </c>
      <c r="C927" s="18">
        <v>46316</v>
      </c>
      <c r="D927" s="12">
        <v>0</v>
      </c>
      <c r="E927" s="13" t="s">
        <v>9</v>
      </c>
      <c r="F927" s="19" t="s">
        <v>31</v>
      </c>
      <c r="G927" s="20" t="s">
        <v>14</v>
      </c>
      <c r="H927" s="16"/>
    </row>
    <row r="928" spans="1:8" ht="15.75" x14ac:dyDescent="0.25">
      <c r="A928" s="9">
        <v>66252</v>
      </c>
      <c r="B928" s="17" t="s">
        <v>16</v>
      </c>
      <c r="C928" s="18">
        <v>46316</v>
      </c>
      <c r="D928" s="12">
        <v>0</v>
      </c>
      <c r="E928" s="13" t="s">
        <v>9</v>
      </c>
      <c r="F928" s="19" t="s">
        <v>31</v>
      </c>
      <c r="G928" s="20" t="s">
        <v>14</v>
      </c>
      <c r="H928" s="16"/>
    </row>
    <row r="929" spans="1:8" ht="15.75" x14ac:dyDescent="0.25">
      <c r="A929" s="9">
        <v>69237</v>
      </c>
      <c r="B929" s="17" t="s">
        <v>69</v>
      </c>
      <c r="C929" s="18">
        <v>46316</v>
      </c>
      <c r="D929" s="12">
        <v>0</v>
      </c>
      <c r="E929" s="13" t="s">
        <v>9</v>
      </c>
      <c r="F929" s="19" t="s">
        <v>31</v>
      </c>
      <c r="G929" s="20" t="s">
        <v>14</v>
      </c>
      <c r="H929" s="16"/>
    </row>
    <row r="930" spans="1:8" ht="15.75" x14ac:dyDescent="0.25">
      <c r="A930" s="9">
        <v>70147</v>
      </c>
      <c r="B930" s="17" t="s">
        <v>17</v>
      </c>
      <c r="C930" s="18">
        <v>46316</v>
      </c>
      <c r="D930" s="12">
        <v>13</v>
      </c>
      <c r="E930" s="13" t="s">
        <v>33</v>
      </c>
      <c r="F930" s="19" t="s">
        <v>31</v>
      </c>
      <c r="G930" s="20" t="s">
        <v>14</v>
      </c>
      <c r="H930" s="16" t="s">
        <v>152</v>
      </c>
    </row>
    <row r="931" spans="1:8" ht="15.75" x14ac:dyDescent="0.25">
      <c r="A931" s="9">
        <v>67001</v>
      </c>
      <c r="B931" s="17" t="s">
        <v>17</v>
      </c>
      <c r="C931" s="18">
        <v>46316</v>
      </c>
      <c r="D931" s="12">
        <v>1</v>
      </c>
      <c r="E931" s="13" t="s">
        <v>9</v>
      </c>
      <c r="F931" s="19" t="s">
        <v>31</v>
      </c>
      <c r="G931" s="21" t="s">
        <v>11</v>
      </c>
      <c r="H931" s="16" t="s">
        <v>153</v>
      </c>
    </row>
    <row r="932" spans="1:8" ht="15.75" x14ac:dyDescent="0.25">
      <c r="A932" s="9">
        <v>69520</v>
      </c>
      <c r="B932" s="17" t="s">
        <v>44</v>
      </c>
      <c r="C932" s="18">
        <v>46316</v>
      </c>
      <c r="D932" s="12">
        <v>0</v>
      </c>
      <c r="E932" s="13" t="s">
        <v>9</v>
      </c>
      <c r="F932" s="19" t="s">
        <v>31</v>
      </c>
      <c r="G932" s="21" t="s">
        <v>11</v>
      </c>
      <c r="H932" s="16"/>
    </row>
    <row r="933" spans="1:8" ht="15.75" x14ac:dyDescent="0.25">
      <c r="A933" s="27">
        <v>70230</v>
      </c>
      <c r="B933" s="17" t="s">
        <v>44</v>
      </c>
      <c r="C933" s="18">
        <v>46316</v>
      </c>
      <c r="D933" s="12">
        <v>4</v>
      </c>
      <c r="E933" s="13" t="s">
        <v>9</v>
      </c>
      <c r="F933" s="19" t="s">
        <v>31</v>
      </c>
      <c r="G933" s="21" t="s">
        <v>11</v>
      </c>
      <c r="H933" s="16" t="s">
        <v>137</v>
      </c>
    </row>
    <row r="934" spans="1:8" ht="15.75" x14ac:dyDescent="0.25">
      <c r="A934" s="9">
        <v>70237</v>
      </c>
      <c r="B934" s="17" t="s">
        <v>44</v>
      </c>
      <c r="C934" s="18">
        <v>46316</v>
      </c>
      <c r="D934" s="12">
        <v>1</v>
      </c>
      <c r="E934" s="13" t="s">
        <v>9</v>
      </c>
      <c r="F934" s="19" t="s">
        <v>31</v>
      </c>
      <c r="G934" s="20" t="s">
        <v>14</v>
      </c>
      <c r="H934" s="16" t="s">
        <v>137</v>
      </c>
    </row>
    <row r="935" spans="1:8" ht="15.75" x14ac:dyDescent="0.25">
      <c r="A935" s="9">
        <v>70017</v>
      </c>
      <c r="B935" s="17" t="s">
        <v>44</v>
      </c>
      <c r="C935" s="18">
        <v>46316</v>
      </c>
      <c r="D935" s="12">
        <v>12</v>
      </c>
      <c r="E935" s="13" t="s">
        <v>9</v>
      </c>
      <c r="F935" s="19" t="s">
        <v>31</v>
      </c>
      <c r="G935" s="20" t="s">
        <v>14</v>
      </c>
      <c r="H935" s="16" t="s">
        <v>137</v>
      </c>
    </row>
    <row r="936" spans="1:8" ht="15.75" x14ac:dyDescent="0.25">
      <c r="A936" s="9">
        <v>70249</v>
      </c>
      <c r="B936" s="29" t="s">
        <v>17</v>
      </c>
      <c r="C936" s="18">
        <v>46316</v>
      </c>
      <c r="D936" s="12">
        <v>6</v>
      </c>
      <c r="E936" s="13" t="s">
        <v>9</v>
      </c>
      <c r="F936" s="19" t="s">
        <v>31</v>
      </c>
      <c r="G936" s="20" t="s">
        <v>14</v>
      </c>
      <c r="H936" s="16" t="s">
        <v>124</v>
      </c>
    </row>
    <row r="937" spans="1:8" ht="15.75" x14ac:dyDescent="0.25">
      <c r="A937" s="9">
        <v>70488</v>
      </c>
      <c r="B937" s="17" t="s">
        <v>42</v>
      </c>
      <c r="C937" s="18">
        <v>46316</v>
      </c>
      <c r="D937" s="12">
        <v>2</v>
      </c>
      <c r="E937" s="13" t="s">
        <v>9</v>
      </c>
      <c r="F937" s="19" t="s">
        <v>31</v>
      </c>
      <c r="G937" s="20" t="s">
        <v>14</v>
      </c>
      <c r="H937" s="16" t="s">
        <v>154</v>
      </c>
    </row>
    <row r="938" spans="1:8" ht="15.75" x14ac:dyDescent="0.25">
      <c r="A938" s="9">
        <v>70487</v>
      </c>
      <c r="B938" s="17" t="s">
        <v>42</v>
      </c>
      <c r="C938" s="18">
        <v>46316</v>
      </c>
      <c r="D938" s="12">
        <v>4</v>
      </c>
      <c r="E938" s="13" t="s">
        <v>9</v>
      </c>
      <c r="F938" s="19" t="s">
        <v>31</v>
      </c>
      <c r="G938" s="20" t="s">
        <v>14</v>
      </c>
      <c r="H938" s="16" t="s">
        <v>155</v>
      </c>
    </row>
    <row r="939" spans="1:8" ht="15.75" x14ac:dyDescent="0.25">
      <c r="A939" s="9">
        <v>70467</v>
      </c>
      <c r="B939" s="17" t="s">
        <v>42</v>
      </c>
      <c r="C939" s="18">
        <v>46316</v>
      </c>
      <c r="D939" s="12">
        <v>2</v>
      </c>
      <c r="E939" s="13" t="s">
        <v>9</v>
      </c>
      <c r="F939" s="19" t="s">
        <v>31</v>
      </c>
      <c r="G939" s="20" t="s">
        <v>14</v>
      </c>
      <c r="H939" s="16"/>
    </row>
    <row r="940" spans="1:8" ht="15.75" x14ac:dyDescent="0.25">
      <c r="A940" s="9">
        <v>70480</v>
      </c>
      <c r="B940" s="17" t="s">
        <v>42</v>
      </c>
      <c r="C940" s="18">
        <v>46316</v>
      </c>
      <c r="D940" s="12">
        <v>4</v>
      </c>
      <c r="E940" s="13" t="s">
        <v>9</v>
      </c>
      <c r="F940" s="19" t="s">
        <v>31</v>
      </c>
      <c r="G940" s="20" t="s">
        <v>14</v>
      </c>
      <c r="H940" s="16"/>
    </row>
    <row r="941" spans="1:8" ht="15.75" x14ac:dyDescent="0.25">
      <c r="A941" s="9">
        <v>70479</v>
      </c>
      <c r="B941" s="17" t="s">
        <v>72</v>
      </c>
      <c r="C941" s="18">
        <v>46316</v>
      </c>
      <c r="D941" s="12">
        <v>3</v>
      </c>
      <c r="E941" s="13" t="s">
        <v>9</v>
      </c>
      <c r="F941" s="19" t="s">
        <v>31</v>
      </c>
      <c r="G941" s="20" t="s">
        <v>14</v>
      </c>
      <c r="H941" s="16" t="s">
        <v>156</v>
      </c>
    </row>
    <row r="942" spans="1:8" ht="15.75" x14ac:dyDescent="0.25">
      <c r="A942" s="9">
        <v>70466</v>
      </c>
      <c r="B942" s="17" t="s">
        <v>72</v>
      </c>
      <c r="C942" s="18">
        <v>46316</v>
      </c>
      <c r="D942" s="12">
        <v>4</v>
      </c>
      <c r="E942" s="13" t="s">
        <v>9</v>
      </c>
      <c r="F942" s="19" t="s">
        <v>31</v>
      </c>
      <c r="G942" s="20" t="s">
        <v>14</v>
      </c>
      <c r="H942" s="16" t="s">
        <v>157</v>
      </c>
    </row>
    <row r="943" spans="1:8" ht="15.75" x14ac:dyDescent="0.25">
      <c r="A943" s="9">
        <v>70462</v>
      </c>
      <c r="B943" s="17" t="s">
        <v>42</v>
      </c>
      <c r="C943" s="18">
        <v>46316</v>
      </c>
      <c r="D943" s="12">
        <v>1</v>
      </c>
      <c r="E943" s="13" t="s">
        <v>9</v>
      </c>
      <c r="F943" s="19" t="s">
        <v>31</v>
      </c>
      <c r="G943" s="20" t="s">
        <v>14</v>
      </c>
      <c r="H943" s="16" t="s">
        <v>123</v>
      </c>
    </row>
    <row r="944" spans="1:8" ht="15.75" x14ac:dyDescent="0.25">
      <c r="A944" s="9">
        <v>70118</v>
      </c>
      <c r="B944" s="17" t="s">
        <v>42</v>
      </c>
      <c r="C944" s="18">
        <v>46316</v>
      </c>
      <c r="D944" s="12">
        <v>1</v>
      </c>
      <c r="E944" s="13" t="s">
        <v>9</v>
      </c>
      <c r="F944" s="19" t="s">
        <v>31</v>
      </c>
      <c r="G944" s="20" t="s">
        <v>14</v>
      </c>
      <c r="H944" s="16"/>
    </row>
    <row r="945" spans="1:8" ht="15.75" x14ac:dyDescent="0.25">
      <c r="A945" s="9">
        <v>69521</v>
      </c>
      <c r="B945" s="17" t="s">
        <v>42</v>
      </c>
      <c r="C945" s="18">
        <v>46316</v>
      </c>
      <c r="D945" s="12">
        <v>1</v>
      </c>
      <c r="E945" s="13" t="s">
        <v>9</v>
      </c>
      <c r="F945" s="19" t="s">
        <v>31</v>
      </c>
      <c r="G945" s="20" t="s">
        <v>14</v>
      </c>
      <c r="H945" s="16" t="s">
        <v>158</v>
      </c>
    </row>
    <row r="946" spans="1:8" ht="15.75" x14ac:dyDescent="0.25">
      <c r="A946" s="9">
        <v>68248</v>
      </c>
      <c r="B946" s="17" t="s">
        <v>42</v>
      </c>
      <c r="C946" s="18">
        <v>46316</v>
      </c>
      <c r="D946" s="12">
        <v>1</v>
      </c>
      <c r="E946" s="13" t="s">
        <v>9</v>
      </c>
      <c r="F946" s="19" t="s">
        <v>31</v>
      </c>
      <c r="G946" s="20" t="s">
        <v>14</v>
      </c>
      <c r="H946" s="16"/>
    </row>
    <row r="947" spans="1:8" ht="15.75" x14ac:dyDescent="0.25">
      <c r="A947" s="9">
        <v>68325</v>
      </c>
      <c r="B947" s="17" t="s">
        <v>159</v>
      </c>
      <c r="C947" s="18">
        <v>46316</v>
      </c>
      <c r="D947" s="12">
        <v>6</v>
      </c>
      <c r="E947" s="13" t="s">
        <v>9</v>
      </c>
      <c r="F947" s="19" t="s">
        <v>31</v>
      </c>
      <c r="G947" s="21" t="s">
        <v>11</v>
      </c>
      <c r="H947" s="16" t="s">
        <v>81</v>
      </c>
    </row>
    <row r="948" spans="1:8" ht="15.75" x14ac:dyDescent="0.25">
      <c r="A948" s="9">
        <v>69416</v>
      </c>
      <c r="B948" s="17" t="s">
        <v>159</v>
      </c>
      <c r="C948" s="18">
        <v>46316</v>
      </c>
      <c r="D948" s="12">
        <v>1</v>
      </c>
      <c r="E948" s="13" t="s">
        <v>9</v>
      </c>
      <c r="F948" s="19" t="s">
        <v>31</v>
      </c>
      <c r="G948" s="21" t="s">
        <v>11</v>
      </c>
      <c r="H948" s="16"/>
    </row>
    <row r="949" spans="1:8" ht="15.75" x14ac:dyDescent="0.25">
      <c r="A949" s="9">
        <v>70099</v>
      </c>
      <c r="B949" s="17" t="s">
        <v>159</v>
      </c>
      <c r="C949" s="18">
        <v>46316</v>
      </c>
      <c r="D949" s="12">
        <v>1</v>
      </c>
      <c r="E949" s="13" t="s">
        <v>9</v>
      </c>
      <c r="F949" s="19" t="s">
        <v>31</v>
      </c>
      <c r="G949" s="21" t="s">
        <v>11</v>
      </c>
      <c r="H949" s="16"/>
    </row>
    <row r="950" spans="1:8" ht="15.75" x14ac:dyDescent="0.25">
      <c r="A950" s="9">
        <v>70450</v>
      </c>
      <c r="B950" s="17" t="s">
        <v>17</v>
      </c>
      <c r="C950" s="18">
        <v>46316</v>
      </c>
      <c r="D950" s="12">
        <v>6</v>
      </c>
      <c r="E950" s="13" t="s">
        <v>9</v>
      </c>
      <c r="F950" s="19" t="s">
        <v>31</v>
      </c>
      <c r="G950" s="20" t="s">
        <v>14</v>
      </c>
      <c r="H950" s="16" t="s">
        <v>145</v>
      </c>
    </row>
    <row r="951" spans="1:8" ht="15.75" x14ac:dyDescent="0.25">
      <c r="A951" s="9">
        <v>70539</v>
      </c>
      <c r="B951" s="17" t="s">
        <v>73</v>
      </c>
      <c r="C951" s="18">
        <v>46316</v>
      </c>
      <c r="D951" s="12">
        <v>1</v>
      </c>
      <c r="E951" s="13" t="s">
        <v>9</v>
      </c>
      <c r="F951" s="19" t="s">
        <v>31</v>
      </c>
      <c r="G951" s="20" t="s">
        <v>14</v>
      </c>
      <c r="H951" s="16" t="s">
        <v>123</v>
      </c>
    </row>
    <row r="952" spans="1:8" ht="15.75" x14ac:dyDescent="0.25">
      <c r="A952" s="9">
        <v>70137</v>
      </c>
      <c r="B952" s="17" t="s">
        <v>16</v>
      </c>
      <c r="C952" s="18">
        <v>46316</v>
      </c>
      <c r="D952" s="12">
        <v>1</v>
      </c>
      <c r="E952" s="13" t="s">
        <v>9</v>
      </c>
      <c r="F952" s="19" t="s">
        <v>31</v>
      </c>
      <c r="G952" s="21" t="s">
        <v>11</v>
      </c>
      <c r="H952" s="16" t="s">
        <v>160</v>
      </c>
    </row>
    <row r="953" spans="1:8" ht="15.75" x14ac:dyDescent="0.25">
      <c r="A953" s="9">
        <v>70254</v>
      </c>
      <c r="B953" s="17" t="s">
        <v>16</v>
      </c>
      <c r="C953" s="18">
        <v>46316</v>
      </c>
      <c r="D953" s="12">
        <v>5</v>
      </c>
      <c r="E953" s="13" t="s">
        <v>9</v>
      </c>
      <c r="F953" s="19" t="s">
        <v>31</v>
      </c>
      <c r="G953" s="21" t="s">
        <v>11</v>
      </c>
      <c r="H953" s="16" t="s">
        <v>160</v>
      </c>
    </row>
    <row r="954" spans="1:8" ht="15.75" x14ac:dyDescent="0.25">
      <c r="A954" s="9">
        <v>70040</v>
      </c>
      <c r="B954" s="17" t="s">
        <v>16</v>
      </c>
      <c r="C954" s="18">
        <v>46316</v>
      </c>
      <c r="D954" s="12">
        <v>1</v>
      </c>
      <c r="E954" s="13" t="s">
        <v>9</v>
      </c>
      <c r="F954" s="19" t="s">
        <v>31</v>
      </c>
      <c r="G954" s="20" t="s">
        <v>14</v>
      </c>
      <c r="H954" s="16" t="s">
        <v>160</v>
      </c>
    </row>
    <row r="955" spans="1:8" ht="15.75" x14ac:dyDescent="0.25">
      <c r="A955" s="9">
        <v>69698</v>
      </c>
      <c r="B955" s="17" t="s">
        <v>42</v>
      </c>
      <c r="C955" s="18">
        <v>46316</v>
      </c>
      <c r="D955" s="12">
        <v>1</v>
      </c>
      <c r="E955" s="13" t="s">
        <v>9</v>
      </c>
      <c r="F955" s="19" t="s">
        <v>31</v>
      </c>
      <c r="G955" s="21" t="s">
        <v>11</v>
      </c>
      <c r="H955" s="16" t="s">
        <v>93</v>
      </c>
    </row>
    <row r="956" spans="1:8" ht="15.75" x14ac:dyDescent="0.25">
      <c r="A956" s="9">
        <v>69049</v>
      </c>
      <c r="B956" s="17" t="s">
        <v>42</v>
      </c>
      <c r="C956" s="18">
        <v>46316</v>
      </c>
      <c r="D956" s="12">
        <v>4</v>
      </c>
      <c r="E956" s="13" t="s">
        <v>9</v>
      </c>
      <c r="F956" s="19" t="s">
        <v>31</v>
      </c>
      <c r="G956" s="21" t="s">
        <v>11</v>
      </c>
      <c r="H956" s="16" t="s">
        <v>93</v>
      </c>
    </row>
    <row r="957" spans="1:8" ht="15.75" x14ac:dyDescent="0.25">
      <c r="A957" s="9">
        <v>70495</v>
      </c>
      <c r="B957" s="17" t="s">
        <v>42</v>
      </c>
      <c r="C957" s="18">
        <v>46316</v>
      </c>
      <c r="D957" s="12">
        <v>1</v>
      </c>
      <c r="E957" s="13" t="s">
        <v>9</v>
      </c>
      <c r="F957" s="19" t="s">
        <v>31</v>
      </c>
      <c r="G957" s="21" t="s">
        <v>11</v>
      </c>
      <c r="H957" s="16" t="s">
        <v>93</v>
      </c>
    </row>
    <row r="958" spans="1:8" ht="15.75" x14ac:dyDescent="0.25">
      <c r="A958" s="9">
        <v>70299</v>
      </c>
      <c r="B958" s="17" t="s">
        <v>69</v>
      </c>
      <c r="C958" s="18">
        <v>46316</v>
      </c>
      <c r="D958" s="12">
        <v>4</v>
      </c>
      <c r="E958" s="13" t="s">
        <v>9</v>
      </c>
      <c r="F958" s="19" t="s">
        <v>31</v>
      </c>
      <c r="G958" s="21" t="s">
        <v>11</v>
      </c>
      <c r="H958" s="16" t="s">
        <v>93</v>
      </c>
    </row>
    <row r="959" spans="1:8" ht="15.75" x14ac:dyDescent="0.25">
      <c r="A959" s="9">
        <v>70283</v>
      </c>
      <c r="B959" s="17" t="s">
        <v>69</v>
      </c>
      <c r="C959" s="18">
        <v>46316</v>
      </c>
      <c r="D959" s="12">
        <v>6</v>
      </c>
      <c r="E959" s="13" t="s">
        <v>9</v>
      </c>
      <c r="F959" s="19" t="s">
        <v>31</v>
      </c>
      <c r="G959" s="20" t="s">
        <v>14</v>
      </c>
      <c r="H959" s="16" t="s">
        <v>93</v>
      </c>
    </row>
    <row r="960" spans="1:8" ht="15.75" x14ac:dyDescent="0.25">
      <c r="A960" s="9">
        <v>70285</v>
      </c>
      <c r="B960" s="17" t="s">
        <v>69</v>
      </c>
      <c r="C960" s="18">
        <v>46316</v>
      </c>
      <c r="D960" s="12">
        <v>4</v>
      </c>
      <c r="E960" s="13" t="s">
        <v>9</v>
      </c>
      <c r="F960" s="19" t="s">
        <v>31</v>
      </c>
      <c r="G960" s="20" t="s">
        <v>14</v>
      </c>
      <c r="H960" s="16" t="s">
        <v>93</v>
      </c>
    </row>
    <row r="961" spans="1:8" ht="15.75" x14ac:dyDescent="0.25">
      <c r="A961" s="9">
        <v>70289</v>
      </c>
      <c r="B961" s="17" t="s">
        <v>43</v>
      </c>
      <c r="C961" s="18">
        <v>46316</v>
      </c>
      <c r="D961" s="12">
        <v>2</v>
      </c>
      <c r="E961" s="13" t="s">
        <v>9</v>
      </c>
      <c r="F961" s="19" t="s">
        <v>31</v>
      </c>
      <c r="G961" s="20" t="s">
        <v>14</v>
      </c>
      <c r="H961" s="16" t="s">
        <v>93</v>
      </c>
    </row>
    <row r="962" spans="1:8" ht="15.75" x14ac:dyDescent="0.25">
      <c r="A962" s="9">
        <v>70297</v>
      </c>
      <c r="B962" s="17" t="s">
        <v>69</v>
      </c>
      <c r="C962" s="18">
        <v>46316</v>
      </c>
      <c r="D962" s="12">
        <v>7</v>
      </c>
      <c r="E962" s="13" t="s">
        <v>9</v>
      </c>
      <c r="F962" s="19" t="s">
        <v>31</v>
      </c>
      <c r="G962" s="20" t="s">
        <v>14</v>
      </c>
      <c r="H962" s="16" t="s">
        <v>93</v>
      </c>
    </row>
    <row r="963" spans="1:8" ht="15.75" x14ac:dyDescent="0.25">
      <c r="A963" s="9">
        <v>70206</v>
      </c>
      <c r="B963" s="17" t="s">
        <v>72</v>
      </c>
      <c r="C963" s="18">
        <v>46316</v>
      </c>
      <c r="D963" s="12">
        <v>3</v>
      </c>
      <c r="E963" s="13" t="s">
        <v>9</v>
      </c>
      <c r="F963" s="19" t="s">
        <v>31</v>
      </c>
      <c r="G963" s="21" t="s">
        <v>11</v>
      </c>
      <c r="H963" s="16" t="s">
        <v>131</v>
      </c>
    </row>
    <row r="964" spans="1:8" ht="15.75" x14ac:dyDescent="0.25">
      <c r="A964" s="9">
        <v>69683</v>
      </c>
      <c r="B964" s="17" t="s">
        <v>44</v>
      </c>
      <c r="C964" s="18">
        <v>46316</v>
      </c>
      <c r="D964" s="12">
        <v>0</v>
      </c>
      <c r="E964" s="13" t="s">
        <v>35</v>
      </c>
      <c r="F964" s="19" t="s">
        <v>31</v>
      </c>
      <c r="G964" s="21" t="s">
        <v>11</v>
      </c>
      <c r="H964" s="16"/>
    </row>
    <row r="965" spans="1:8" ht="15.75" x14ac:dyDescent="0.25">
      <c r="A965" s="9">
        <v>70067</v>
      </c>
      <c r="B965" s="17" t="s">
        <v>69</v>
      </c>
      <c r="C965" s="18">
        <v>46316</v>
      </c>
      <c r="D965" s="12">
        <v>0</v>
      </c>
      <c r="E965" s="13" t="s">
        <v>9</v>
      </c>
      <c r="F965" s="19" t="s">
        <v>31</v>
      </c>
      <c r="G965" s="21" t="s">
        <v>11</v>
      </c>
      <c r="H965" s="16"/>
    </row>
    <row r="966" spans="1:8" ht="15.75" x14ac:dyDescent="0.25">
      <c r="A966" s="9">
        <v>70116</v>
      </c>
      <c r="B966" s="17" t="s">
        <v>73</v>
      </c>
      <c r="C966" s="18">
        <v>46316</v>
      </c>
      <c r="D966" s="12">
        <v>0</v>
      </c>
      <c r="E966" s="13" t="s">
        <v>9</v>
      </c>
      <c r="F966" s="19" t="s">
        <v>31</v>
      </c>
      <c r="G966" s="21" t="s">
        <v>11</v>
      </c>
      <c r="H966" s="16"/>
    </row>
    <row r="967" spans="1:8" ht="15.75" x14ac:dyDescent="0.25">
      <c r="A967" s="9">
        <v>70110</v>
      </c>
      <c r="B967" s="29" t="s">
        <v>73</v>
      </c>
      <c r="C967" s="18">
        <v>46316</v>
      </c>
      <c r="D967" s="12">
        <v>0</v>
      </c>
      <c r="E967" s="13" t="s">
        <v>9</v>
      </c>
      <c r="F967" s="19" t="s">
        <v>31</v>
      </c>
      <c r="G967" s="21" t="s">
        <v>11</v>
      </c>
      <c r="H967" s="16"/>
    </row>
    <row r="968" spans="1:8" ht="15.75" x14ac:dyDescent="0.25">
      <c r="A968" s="9">
        <v>70066</v>
      </c>
      <c r="B968" s="17" t="s">
        <v>73</v>
      </c>
      <c r="C968" s="18">
        <v>46316</v>
      </c>
      <c r="D968" s="12">
        <v>0</v>
      </c>
      <c r="E968" s="13" t="s">
        <v>9</v>
      </c>
      <c r="F968" s="19" t="s">
        <v>31</v>
      </c>
      <c r="G968" s="21" t="s">
        <v>11</v>
      </c>
      <c r="H968" s="16"/>
    </row>
    <row r="969" spans="1:8" ht="15.75" x14ac:dyDescent="0.25">
      <c r="A969" s="9">
        <v>70058</v>
      </c>
      <c r="B969" s="17" t="s">
        <v>73</v>
      </c>
      <c r="C969" s="18">
        <v>46316</v>
      </c>
      <c r="D969" s="12">
        <v>0</v>
      </c>
      <c r="E969" s="13" t="s">
        <v>9</v>
      </c>
      <c r="F969" s="19" t="s">
        <v>31</v>
      </c>
      <c r="G969" s="21" t="s">
        <v>11</v>
      </c>
      <c r="H969" s="16"/>
    </row>
    <row r="970" spans="1:8" ht="15.75" x14ac:dyDescent="0.25">
      <c r="A970" s="9">
        <v>70057</v>
      </c>
      <c r="B970" s="17" t="s">
        <v>73</v>
      </c>
      <c r="C970" s="18">
        <v>46316</v>
      </c>
      <c r="D970" s="12">
        <v>0</v>
      </c>
      <c r="E970" s="13" t="s">
        <v>9</v>
      </c>
      <c r="F970" s="19" t="s">
        <v>31</v>
      </c>
      <c r="G970" s="21" t="s">
        <v>11</v>
      </c>
      <c r="H970" s="16"/>
    </row>
    <row r="971" spans="1:8" ht="15.75" x14ac:dyDescent="0.25">
      <c r="A971" s="9">
        <v>68159</v>
      </c>
      <c r="B971" s="17" t="s">
        <v>72</v>
      </c>
      <c r="C971" s="18">
        <v>46316</v>
      </c>
      <c r="D971" s="12">
        <v>0</v>
      </c>
      <c r="E971" s="13" t="s">
        <v>9</v>
      </c>
      <c r="F971" s="19" t="s">
        <v>31</v>
      </c>
      <c r="G971" s="20" t="s">
        <v>14</v>
      </c>
      <c r="H971" s="16"/>
    </row>
    <row r="972" spans="1:8" ht="15.75" x14ac:dyDescent="0.25">
      <c r="A972" s="9">
        <v>68673</v>
      </c>
      <c r="B972" s="17" t="s">
        <v>72</v>
      </c>
      <c r="C972" s="18">
        <v>46316</v>
      </c>
      <c r="D972" s="12">
        <v>0</v>
      </c>
      <c r="E972" s="13" t="s">
        <v>9</v>
      </c>
      <c r="F972" s="19" t="s">
        <v>31</v>
      </c>
      <c r="G972" s="20" t="s">
        <v>14</v>
      </c>
      <c r="H972" s="16"/>
    </row>
    <row r="973" spans="1:8" ht="15.75" x14ac:dyDescent="0.25">
      <c r="A973" s="9">
        <v>68157</v>
      </c>
      <c r="B973" s="17" t="s">
        <v>72</v>
      </c>
      <c r="C973" s="18">
        <v>46316</v>
      </c>
      <c r="D973" s="12">
        <v>0</v>
      </c>
      <c r="E973" s="13" t="s">
        <v>9</v>
      </c>
      <c r="F973" s="19" t="s">
        <v>31</v>
      </c>
      <c r="G973" s="20" t="s">
        <v>14</v>
      </c>
      <c r="H973" s="16"/>
    </row>
    <row r="974" spans="1:8" ht="15.75" x14ac:dyDescent="0.25">
      <c r="A974" s="9">
        <v>69735</v>
      </c>
      <c r="B974" s="17" t="s">
        <v>42</v>
      </c>
      <c r="C974" s="18">
        <v>46316</v>
      </c>
      <c r="D974" s="12">
        <v>2</v>
      </c>
      <c r="E974" s="13" t="s">
        <v>9</v>
      </c>
      <c r="F974" s="19" t="s">
        <v>31</v>
      </c>
      <c r="G974" s="21" t="s">
        <v>11</v>
      </c>
      <c r="H974" s="16" t="s">
        <v>138</v>
      </c>
    </row>
    <row r="975" spans="1:8" ht="15.75" x14ac:dyDescent="0.25">
      <c r="A975" s="9">
        <v>68158</v>
      </c>
      <c r="B975" s="17" t="s">
        <v>161</v>
      </c>
      <c r="C975" s="18">
        <v>46316</v>
      </c>
      <c r="D975" s="12">
        <v>0</v>
      </c>
      <c r="E975" s="13" t="s">
        <v>9</v>
      </c>
      <c r="F975" s="19" t="s">
        <v>31</v>
      </c>
      <c r="G975" s="20" t="s">
        <v>14</v>
      </c>
      <c r="H975" s="16"/>
    </row>
    <row r="976" spans="1:8" ht="15.75" x14ac:dyDescent="0.25">
      <c r="A976" s="9">
        <v>70537</v>
      </c>
      <c r="B976" s="17" t="s">
        <v>43</v>
      </c>
      <c r="C976" s="18">
        <v>46317</v>
      </c>
      <c r="D976" s="12">
        <v>2</v>
      </c>
      <c r="E976" s="13" t="s">
        <v>9</v>
      </c>
      <c r="F976" s="19" t="s">
        <v>31</v>
      </c>
      <c r="G976" s="21" t="s">
        <v>11</v>
      </c>
      <c r="H976" s="16" t="s">
        <v>162</v>
      </c>
    </row>
    <row r="977" spans="1:8" ht="15.75" x14ac:dyDescent="0.25">
      <c r="A977" s="9">
        <v>69897</v>
      </c>
      <c r="B977" s="29" t="s">
        <v>69</v>
      </c>
      <c r="C977" s="18">
        <v>46317</v>
      </c>
      <c r="D977" s="12">
        <v>5</v>
      </c>
      <c r="E977" s="13" t="s">
        <v>9</v>
      </c>
      <c r="F977" s="19" t="s">
        <v>31</v>
      </c>
      <c r="G977" s="21" t="s">
        <v>11</v>
      </c>
      <c r="H977" s="16" t="s">
        <v>93</v>
      </c>
    </row>
    <row r="978" spans="1:8" ht="15.75" x14ac:dyDescent="0.25">
      <c r="A978" s="9">
        <v>69492</v>
      </c>
      <c r="B978" s="29" t="s">
        <v>42</v>
      </c>
      <c r="C978" s="18">
        <v>46317</v>
      </c>
      <c r="D978" s="12">
        <v>0</v>
      </c>
      <c r="E978" s="13" t="s">
        <v>9</v>
      </c>
      <c r="F978" s="19" t="s">
        <v>31</v>
      </c>
      <c r="G978" s="21" t="s">
        <v>11</v>
      </c>
      <c r="H978" s="16"/>
    </row>
    <row r="979" spans="1:8" ht="15.75" x14ac:dyDescent="0.25">
      <c r="A979" s="9">
        <v>69863</v>
      </c>
      <c r="B979" s="17" t="s">
        <v>44</v>
      </c>
      <c r="C979" s="18">
        <v>46317</v>
      </c>
      <c r="D979" s="12">
        <v>0</v>
      </c>
      <c r="E979" s="13" t="s">
        <v>9</v>
      </c>
      <c r="F979" s="19" t="s">
        <v>31</v>
      </c>
      <c r="G979" s="21" t="s">
        <v>11</v>
      </c>
      <c r="H979" s="16"/>
    </row>
    <row r="980" spans="1:8" ht="15.75" x14ac:dyDescent="0.25">
      <c r="A980" s="9">
        <v>69849</v>
      </c>
      <c r="B980" s="29" t="s">
        <v>72</v>
      </c>
      <c r="C980" s="18">
        <v>46317</v>
      </c>
      <c r="D980" s="12">
        <v>0</v>
      </c>
      <c r="E980" s="13" t="s">
        <v>9</v>
      </c>
      <c r="F980" s="19" t="s">
        <v>31</v>
      </c>
      <c r="G980" s="21" t="s">
        <v>11</v>
      </c>
      <c r="H980" s="16"/>
    </row>
    <row r="981" spans="1:8" ht="15.75" x14ac:dyDescent="0.25">
      <c r="A981" s="9">
        <v>63892</v>
      </c>
      <c r="B981" s="17" t="s">
        <v>159</v>
      </c>
      <c r="C981" s="18">
        <v>46317</v>
      </c>
      <c r="D981" s="12">
        <v>1</v>
      </c>
      <c r="E981" s="13" t="s">
        <v>9</v>
      </c>
      <c r="F981" s="19" t="s">
        <v>31</v>
      </c>
      <c r="G981" s="21" t="s">
        <v>11</v>
      </c>
      <c r="H981" s="16" t="s">
        <v>93</v>
      </c>
    </row>
    <row r="982" spans="1:8" ht="15.75" x14ac:dyDescent="0.25">
      <c r="A982" s="9">
        <v>70115</v>
      </c>
      <c r="B982" s="29" t="s">
        <v>73</v>
      </c>
      <c r="C982" s="18">
        <v>46317</v>
      </c>
      <c r="D982" s="12">
        <v>0</v>
      </c>
      <c r="E982" s="13" t="s">
        <v>9</v>
      </c>
      <c r="F982" s="19" t="s">
        <v>31</v>
      </c>
      <c r="G982" s="21" t="s">
        <v>11</v>
      </c>
      <c r="H982" s="16"/>
    </row>
    <row r="983" spans="1:8" ht="15.75" x14ac:dyDescent="0.25">
      <c r="A983" s="9">
        <v>69076</v>
      </c>
      <c r="B983" s="17" t="s">
        <v>69</v>
      </c>
      <c r="C983" s="18">
        <v>46317</v>
      </c>
      <c r="D983" s="12">
        <v>1</v>
      </c>
      <c r="E983" s="13" t="s">
        <v>9</v>
      </c>
      <c r="F983" s="19" t="s">
        <v>31</v>
      </c>
      <c r="G983" s="21" t="s">
        <v>11</v>
      </c>
      <c r="H983" s="16" t="s">
        <v>84</v>
      </c>
    </row>
    <row r="984" spans="1:8" ht="15.75" x14ac:dyDescent="0.25">
      <c r="A984" s="9">
        <v>70016</v>
      </c>
      <c r="B984" s="29" t="s">
        <v>17</v>
      </c>
      <c r="C984" s="18">
        <v>46317</v>
      </c>
      <c r="D984" s="12">
        <v>4</v>
      </c>
      <c r="E984" s="13" t="s">
        <v>9</v>
      </c>
      <c r="F984" s="19" t="s">
        <v>31</v>
      </c>
      <c r="G984" s="21" t="s">
        <v>11</v>
      </c>
      <c r="H984" s="16" t="s">
        <v>84</v>
      </c>
    </row>
    <row r="985" spans="1:8" ht="15.75" x14ac:dyDescent="0.25">
      <c r="A985" s="9">
        <v>69220</v>
      </c>
      <c r="B985" s="17" t="s">
        <v>16</v>
      </c>
      <c r="C985" s="18">
        <v>46317</v>
      </c>
      <c r="D985" s="12">
        <v>2</v>
      </c>
      <c r="E985" s="13" t="s">
        <v>9</v>
      </c>
      <c r="F985" s="19" t="s">
        <v>31</v>
      </c>
      <c r="G985" s="21" t="s">
        <v>11</v>
      </c>
      <c r="H985" s="16" t="s">
        <v>84</v>
      </c>
    </row>
    <row r="986" spans="1:8" ht="15.75" x14ac:dyDescent="0.25">
      <c r="A986" s="9">
        <v>70491</v>
      </c>
      <c r="B986" s="17" t="s">
        <v>159</v>
      </c>
      <c r="C986" s="18">
        <v>46317</v>
      </c>
      <c r="D986" s="12">
        <v>2</v>
      </c>
      <c r="E986" s="13" t="s">
        <v>9</v>
      </c>
      <c r="F986" s="19" t="s">
        <v>31</v>
      </c>
      <c r="G986" s="21" t="s">
        <v>11</v>
      </c>
      <c r="H986" s="16" t="s">
        <v>84</v>
      </c>
    </row>
    <row r="987" spans="1:8" ht="15.75" x14ac:dyDescent="0.25">
      <c r="A987" s="9">
        <v>69646</v>
      </c>
      <c r="B987" s="30" t="s">
        <v>42</v>
      </c>
      <c r="C987" s="18">
        <v>46317</v>
      </c>
      <c r="D987" s="12">
        <v>1</v>
      </c>
      <c r="E987" s="13" t="s">
        <v>9</v>
      </c>
      <c r="F987" s="19" t="s">
        <v>31</v>
      </c>
      <c r="G987" s="21" t="s">
        <v>11</v>
      </c>
      <c r="H987" s="16"/>
    </row>
    <row r="988" spans="1:8" ht="15.75" x14ac:dyDescent="0.25">
      <c r="A988" s="9">
        <v>69533</v>
      </c>
      <c r="B988" s="30" t="s">
        <v>42</v>
      </c>
      <c r="C988" s="18">
        <v>46317</v>
      </c>
      <c r="D988" s="12">
        <v>1</v>
      </c>
      <c r="E988" s="13" t="s">
        <v>9</v>
      </c>
      <c r="F988" s="19" t="s">
        <v>31</v>
      </c>
      <c r="G988" s="21" t="s">
        <v>11</v>
      </c>
      <c r="H988" s="16"/>
    </row>
    <row r="989" spans="1:8" ht="15.75" x14ac:dyDescent="0.25">
      <c r="A989" s="9">
        <v>70476</v>
      </c>
      <c r="B989" s="30" t="s">
        <v>42</v>
      </c>
      <c r="C989" s="18">
        <v>46317</v>
      </c>
      <c r="D989" s="12">
        <v>1</v>
      </c>
      <c r="E989" s="13" t="s">
        <v>9</v>
      </c>
      <c r="F989" s="19" t="s">
        <v>31</v>
      </c>
      <c r="G989" s="21" t="s">
        <v>11</v>
      </c>
      <c r="H989" s="16" t="s">
        <v>163</v>
      </c>
    </row>
    <row r="990" spans="1:8" ht="15.75" x14ac:dyDescent="0.25">
      <c r="A990" s="9">
        <v>70478</v>
      </c>
      <c r="B990" s="17" t="s">
        <v>159</v>
      </c>
      <c r="C990" s="18">
        <v>46317</v>
      </c>
      <c r="D990" s="12">
        <v>5</v>
      </c>
      <c r="E990" s="13" t="s">
        <v>9</v>
      </c>
      <c r="F990" s="19" t="s">
        <v>31</v>
      </c>
      <c r="G990" s="21" t="s">
        <v>11</v>
      </c>
      <c r="H990" s="16" t="s">
        <v>145</v>
      </c>
    </row>
    <row r="991" spans="1:8" ht="15.75" x14ac:dyDescent="0.25">
      <c r="A991" s="9">
        <v>70461</v>
      </c>
      <c r="B991" s="29" t="s">
        <v>17</v>
      </c>
      <c r="C991" s="18">
        <v>46317</v>
      </c>
      <c r="D991" s="12">
        <v>3</v>
      </c>
      <c r="E991" s="13" t="s">
        <v>35</v>
      </c>
      <c r="F991" s="19" t="s">
        <v>31</v>
      </c>
      <c r="G991" s="20" t="s">
        <v>14</v>
      </c>
      <c r="H991" s="16" t="s">
        <v>144</v>
      </c>
    </row>
    <row r="992" spans="1:8" ht="15.75" x14ac:dyDescent="0.25">
      <c r="A992" s="9">
        <v>70469</v>
      </c>
      <c r="B992" s="17" t="s">
        <v>72</v>
      </c>
      <c r="C992" s="18">
        <v>46317</v>
      </c>
      <c r="D992" s="12">
        <v>1</v>
      </c>
      <c r="E992" s="13" t="s">
        <v>29</v>
      </c>
      <c r="F992" s="19" t="s">
        <v>31</v>
      </c>
      <c r="G992" s="20" t="s">
        <v>14</v>
      </c>
      <c r="H992" s="16" t="s">
        <v>164</v>
      </c>
    </row>
    <row r="993" spans="1:8" ht="15.75" x14ac:dyDescent="0.25">
      <c r="A993" s="9">
        <v>70471</v>
      </c>
      <c r="B993" s="17" t="s">
        <v>72</v>
      </c>
      <c r="C993" s="18">
        <v>46317</v>
      </c>
      <c r="D993" s="12">
        <v>1</v>
      </c>
      <c r="E993" s="13" t="s">
        <v>29</v>
      </c>
      <c r="F993" s="19" t="s">
        <v>31</v>
      </c>
      <c r="G993" s="20" t="s">
        <v>14</v>
      </c>
      <c r="H993" s="16" t="s">
        <v>83</v>
      </c>
    </row>
    <row r="994" spans="1:8" ht="15.75" x14ac:dyDescent="0.25">
      <c r="A994" s="9">
        <v>70465</v>
      </c>
      <c r="B994" s="17" t="s">
        <v>72</v>
      </c>
      <c r="C994" s="18">
        <v>46317</v>
      </c>
      <c r="D994" s="12">
        <v>1</v>
      </c>
      <c r="E994" s="13" t="s">
        <v>29</v>
      </c>
      <c r="F994" s="19" t="s">
        <v>31</v>
      </c>
      <c r="G994" s="20" t="s">
        <v>14</v>
      </c>
      <c r="H994" s="16" t="s">
        <v>164</v>
      </c>
    </row>
    <row r="995" spans="1:8" ht="15.75" x14ac:dyDescent="0.25">
      <c r="A995" s="9">
        <v>70472</v>
      </c>
      <c r="B995" s="17" t="s">
        <v>72</v>
      </c>
      <c r="C995" s="18">
        <v>46317</v>
      </c>
      <c r="D995" s="12">
        <v>1</v>
      </c>
      <c r="E995" s="13" t="s">
        <v>29</v>
      </c>
      <c r="F995" s="19" t="s">
        <v>31</v>
      </c>
      <c r="G995" s="20" t="s">
        <v>14</v>
      </c>
      <c r="H995" s="16" t="s">
        <v>83</v>
      </c>
    </row>
    <row r="996" spans="1:8" ht="15.75" x14ac:dyDescent="0.25">
      <c r="A996" s="9">
        <v>70527</v>
      </c>
      <c r="B996" s="17" t="s">
        <v>16</v>
      </c>
      <c r="C996" s="18">
        <v>46317</v>
      </c>
      <c r="D996" s="12">
        <v>2</v>
      </c>
      <c r="E996" s="13" t="s">
        <v>29</v>
      </c>
      <c r="F996" s="19" t="s">
        <v>31</v>
      </c>
      <c r="G996" s="20" t="s">
        <v>14</v>
      </c>
      <c r="H996" s="16"/>
    </row>
    <row r="997" spans="1:8" ht="15.75" x14ac:dyDescent="0.25">
      <c r="A997" s="9">
        <v>70546</v>
      </c>
      <c r="B997" s="17" t="s">
        <v>16</v>
      </c>
      <c r="C997" s="18">
        <v>46317</v>
      </c>
      <c r="D997" s="12">
        <v>3</v>
      </c>
      <c r="E997" s="13" t="s">
        <v>35</v>
      </c>
      <c r="F997" s="19" t="s">
        <v>31</v>
      </c>
      <c r="G997" s="20" t="s">
        <v>14</v>
      </c>
      <c r="H997" s="16"/>
    </row>
    <row r="998" spans="1:8" ht="15.75" x14ac:dyDescent="0.25">
      <c r="A998" s="9">
        <v>68765</v>
      </c>
      <c r="B998" s="17" t="s">
        <v>16</v>
      </c>
      <c r="C998" s="18">
        <v>46317</v>
      </c>
      <c r="D998" s="12">
        <v>2</v>
      </c>
      <c r="E998" s="13" t="s">
        <v>9</v>
      </c>
      <c r="F998" s="19" t="s">
        <v>31</v>
      </c>
      <c r="G998" s="21" t="s">
        <v>11</v>
      </c>
      <c r="H998" s="16" t="s">
        <v>93</v>
      </c>
    </row>
    <row r="999" spans="1:8" ht="15.75" x14ac:dyDescent="0.25">
      <c r="A999" s="9">
        <v>69043</v>
      </c>
      <c r="B999" s="17" t="s">
        <v>17</v>
      </c>
      <c r="C999" s="18">
        <v>46317</v>
      </c>
      <c r="D999" s="12">
        <v>3</v>
      </c>
      <c r="E999" s="13" t="s">
        <v>9</v>
      </c>
      <c r="F999" s="19" t="s">
        <v>31</v>
      </c>
      <c r="G999" s="21" t="s">
        <v>11</v>
      </c>
      <c r="H999" s="16" t="s">
        <v>93</v>
      </c>
    </row>
    <row r="1000" spans="1:8" ht="15.75" x14ac:dyDescent="0.25">
      <c r="A1000" s="9">
        <v>68450</v>
      </c>
      <c r="B1000" s="17" t="s">
        <v>17</v>
      </c>
      <c r="C1000" s="18">
        <v>46317</v>
      </c>
      <c r="D1000" s="12">
        <v>1</v>
      </c>
      <c r="E1000" s="13" t="s">
        <v>9</v>
      </c>
      <c r="F1000" s="19" t="s">
        <v>31</v>
      </c>
      <c r="G1000" s="21" t="s">
        <v>11</v>
      </c>
      <c r="H1000" s="16" t="s">
        <v>165</v>
      </c>
    </row>
    <row r="1001" spans="1:8" ht="15.75" x14ac:dyDescent="0.25">
      <c r="A1001" s="9">
        <v>66738</v>
      </c>
      <c r="B1001" s="17" t="s">
        <v>17</v>
      </c>
      <c r="C1001" s="18">
        <v>46317</v>
      </c>
      <c r="D1001" s="12">
        <v>1</v>
      </c>
      <c r="E1001" s="13" t="s">
        <v>9</v>
      </c>
      <c r="F1001" s="19" t="s">
        <v>31</v>
      </c>
      <c r="G1001" s="21" t="s">
        <v>11</v>
      </c>
      <c r="H1001" s="16"/>
    </row>
    <row r="1002" spans="1:8" ht="15.75" x14ac:dyDescent="0.25">
      <c r="A1002" s="9">
        <v>68142</v>
      </c>
      <c r="B1002" s="17" t="s">
        <v>159</v>
      </c>
      <c r="C1002" s="18">
        <v>46317</v>
      </c>
      <c r="D1002" s="12">
        <v>1</v>
      </c>
      <c r="E1002" s="13" t="s">
        <v>9</v>
      </c>
      <c r="F1002" s="19" t="s">
        <v>31</v>
      </c>
      <c r="G1002" s="21" t="s">
        <v>11</v>
      </c>
      <c r="H1002" s="16"/>
    </row>
    <row r="1003" spans="1:8" ht="15.75" x14ac:dyDescent="0.25">
      <c r="A1003" s="9">
        <v>70193</v>
      </c>
      <c r="B1003" s="29" t="s">
        <v>43</v>
      </c>
      <c r="C1003" s="18">
        <v>46317</v>
      </c>
      <c r="D1003" s="12">
        <v>1</v>
      </c>
      <c r="E1003" s="13" t="s">
        <v>9</v>
      </c>
      <c r="F1003" s="19" t="s">
        <v>31</v>
      </c>
      <c r="G1003" s="21" t="s">
        <v>11</v>
      </c>
      <c r="H1003" s="16" t="s">
        <v>83</v>
      </c>
    </row>
    <row r="1004" spans="1:8" ht="15.75" x14ac:dyDescent="0.25">
      <c r="A1004" s="9">
        <v>70449</v>
      </c>
      <c r="B1004" s="17" t="s">
        <v>166</v>
      </c>
      <c r="C1004" s="18">
        <v>46317</v>
      </c>
      <c r="D1004" s="12">
        <v>5</v>
      </c>
      <c r="E1004" s="13" t="s">
        <v>9</v>
      </c>
      <c r="F1004" s="19" t="s">
        <v>31</v>
      </c>
      <c r="G1004" s="21" t="s">
        <v>11</v>
      </c>
      <c r="H1004" s="16" t="s">
        <v>89</v>
      </c>
    </row>
    <row r="1005" spans="1:8" ht="15.75" x14ac:dyDescent="0.25">
      <c r="A1005" s="9">
        <v>69205</v>
      </c>
      <c r="B1005" s="17" t="s">
        <v>159</v>
      </c>
      <c r="C1005" s="18">
        <v>46317</v>
      </c>
      <c r="D1005" s="12">
        <v>1</v>
      </c>
      <c r="E1005" s="13" t="s">
        <v>9</v>
      </c>
      <c r="F1005" s="19" t="s">
        <v>31</v>
      </c>
      <c r="G1005" s="21" t="s">
        <v>11</v>
      </c>
      <c r="H1005" s="16"/>
    </row>
    <row r="1006" spans="1:8" ht="15.75" x14ac:dyDescent="0.25">
      <c r="A1006" s="9">
        <v>70547</v>
      </c>
      <c r="B1006" s="17" t="s">
        <v>159</v>
      </c>
      <c r="C1006" s="18">
        <v>46317</v>
      </c>
      <c r="D1006" s="12">
        <v>1</v>
      </c>
      <c r="E1006" s="13" t="s">
        <v>9</v>
      </c>
      <c r="F1006" s="19" t="s">
        <v>31</v>
      </c>
      <c r="G1006" s="21" t="s">
        <v>11</v>
      </c>
      <c r="H1006" s="16"/>
    </row>
    <row r="1007" spans="1:8" ht="15.75" x14ac:dyDescent="0.25">
      <c r="A1007" s="9">
        <v>70530</v>
      </c>
      <c r="B1007" s="17" t="s">
        <v>69</v>
      </c>
      <c r="C1007" s="18">
        <v>46317</v>
      </c>
      <c r="D1007" s="12">
        <v>3</v>
      </c>
      <c r="E1007" s="13" t="s">
        <v>9</v>
      </c>
      <c r="F1007" s="19" t="s">
        <v>31</v>
      </c>
      <c r="G1007" s="20" t="s">
        <v>14</v>
      </c>
      <c r="H1007" s="16" t="s">
        <v>83</v>
      </c>
    </row>
    <row r="1008" spans="1:8" ht="15.75" x14ac:dyDescent="0.25">
      <c r="A1008" s="9">
        <v>70551</v>
      </c>
      <c r="B1008" s="17" t="s">
        <v>73</v>
      </c>
      <c r="C1008" s="18">
        <v>46317</v>
      </c>
      <c r="D1008" s="12">
        <v>6</v>
      </c>
      <c r="E1008" s="13" t="s">
        <v>9</v>
      </c>
      <c r="F1008" s="19" t="s">
        <v>31</v>
      </c>
      <c r="G1008" s="20" t="s">
        <v>14</v>
      </c>
      <c r="H1008" s="16"/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B15" sqref="B15:B16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6">_xlfn.UNIQUE(DadosBrutos!C1:C1008)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>
        <v>46312</v>
      </c>
      <c r="B12" s="22">
        <f>COUNTIF(DadosBrutos!C:C, A12)</f>
        <v>6</v>
      </c>
    </row>
    <row r="13" spans="1:2" x14ac:dyDescent="0.25">
      <c r="A13" s="24">
        <v>46314</v>
      </c>
      <c r="B13" s="22">
        <f>COUNTIF(DadosBrutos!C:C, A13)</f>
        <v>75</v>
      </c>
    </row>
    <row r="14" spans="1:2" x14ac:dyDescent="0.25">
      <c r="A14" s="24">
        <v>46315</v>
      </c>
      <c r="B14" s="22">
        <f>COUNTIF(DadosBrutos!C:C, A14)</f>
        <v>102</v>
      </c>
    </row>
    <row r="15" spans="1:2" x14ac:dyDescent="0.25">
      <c r="A15" s="24">
        <v>46316</v>
      </c>
      <c r="B15" s="22">
        <f>COUNTIF(DadosBrutos!C:C, A15)</f>
        <v>65</v>
      </c>
    </row>
    <row r="16" spans="1:2" x14ac:dyDescent="0.25">
      <c r="A16" s="24">
        <v>46317</v>
      </c>
      <c r="B16" s="22">
        <f>COUNTIF(DadosBrutos!C:C, A16)</f>
        <v>33</v>
      </c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workbookViewId="0">
      <selection activeCell="H15" sqref="H15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6">_xlfn.UNIQUE(DadosBrutos!C1:C1008)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4">
        <v>46314</v>
      </c>
      <c r="B13">
        <f>COUNTIFS(DadosBrutos!C:C, A13, DadosBrutos!G:G, "SAUDAVEL")</f>
        <v>42</v>
      </c>
      <c r="C13">
        <f>COUNTIFS(DadosBrutos!C:C, A13, DadosBrutos!G:G, "BACKLOG")</f>
        <v>33</v>
      </c>
    </row>
    <row r="14" spans="1:3" x14ac:dyDescent="0.25">
      <c r="A14" s="24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4">
        <v>46316</v>
      </c>
      <c r="B15">
        <f>COUNTIFS(DadosBrutos!C:C, A15, DadosBrutos!G:G, "SAUDAVEL")</f>
        <v>35</v>
      </c>
      <c r="C15">
        <f>COUNTIFS(DadosBrutos!C:C, A15, DadosBrutos!G:G, "BACKLOG")</f>
        <v>30</v>
      </c>
    </row>
    <row r="16" spans="1:3" x14ac:dyDescent="0.25">
      <c r="A16" s="24">
        <v>46317</v>
      </c>
      <c r="B16">
        <f>COUNTIFS(DadosBrutos!C:C, A16, DadosBrutos!G:G, "SAUDAVEL")</f>
        <v>9</v>
      </c>
      <c r="C16">
        <f>COUNTIFS(DadosBrutos!C:C, A16, DadosBrutos!G:G, "BACKLOG")</f>
        <v>24</v>
      </c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2026-10-22T12:52:13Z</dcterms:modified>
</cp:coreProperties>
</file>